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13_ncr:1_{ADD6A402-D980-46B5-A5AD-3A73586FE3EA}" xr6:coauthVersionLast="47" xr6:coauthVersionMax="47" xr10:uidLastSave="{00000000-0000-0000-0000-000000000000}"/>
  <bookViews>
    <workbookView xWindow="-15480" yWindow="-120" windowWidth="15600" windowHeight="11160" firstSheet="1" activeTab="1" xr2:uid="{00000000-000D-0000-FFFF-FFFF00000000}"/>
  </bookViews>
  <sheets>
    <sheet name="COLA RAW DATA" sheetId="5" r:id="rId1"/>
    <sheet name="Profit &amp; Loss Statement" sheetId="4" r:id="rId2"/>
    <sheet name="Balance sheet" sheetId="2" r:id="rId3"/>
    <sheet name="Cash flow Statement" sheetId="3" r:id="rId4"/>
  </sheets>
  <definedNames>
    <definedName name="ExternalData_1" localSheetId="0" hidden="1">'COLA RAW DATA'!$A$1:$L$104</definedName>
    <definedName name="_xlnm.Print_Area" localSheetId="2">'Balance sheet'!$A$1:$L$64</definedName>
  </definedNames>
  <calcPr calcId="191029"/>
</workbook>
</file>

<file path=xl/calcChain.xml><?xml version="1.0" encoding="utf-8"?>
<calcChain xmlns="http://schemas.openxmlformats.org/spreadsheetml/2006/main">
  <c r="C9" i="4" l="1"/>
  <c r="C14" i="4" s="1"/>
  <c r="C21" i="4" s="1"/>
  <c r="C25" i="4" s="1"/>
  <c r="C31" i="4" s="1"/>
  <c r="D9" i="4"/>
  <c r="D14" i="4" s="1"/>
  <c r="D21" i="4" s="1"/>
  <c r="D25" i="4" s="1"/>
  <c r="D31" i="4" s="1"/>
  <c r="E9" i="4"/>
  <c r="E14" i="4" s="1"/>
  <c r="E21" i="4" s="1"/>
  <c r="E25" i="4" s="1"/>
  <c r="E31" i="4" s="1"/>
  <c r="F9" i="4"/>
  <c r="F14" i="4" s="1"/>
  <c r="F21" i="4" s="1"/>
  <c r="F25" i="4" s="1"/>
  <c r="F31" i="4" s="1"/>
  <c r="G9" i="4"/>
  <c r="H9" i="4"/>
  <c r="H14" i="4" s="1"/>
  <c r="H21" i="4" s="1"/>
  <c r="H25" i="4" s="1"/>
  <c r="H31" i="4" s="1"/>
  <c r="I9" i="4"/>
  <c r="I14" i="4" s="1"/>
  <c r="I21" i="4" s="1"/>
  <c r="I25" i="4" s="1"/>
  <c r="I31" i="4" s="1"/>
  <c r="J9" i="4"/>
  <c r="J14" i="4" s="1"/>
  <c r="J21" i="4" s="1"/>
  <c r="J25" i="4" s="1"/>
  <c r="J31" i="4" s="1"/>
  <c r="K9" i="4"/>
  <c r="K14" i="4" s="1"/>
  <c r="K21" i="4" s="1"/>
  <c r="K25" i="4" s="1"/>
  <c r="K31" i="4" s="1"/>
  <c r="C39" i="3"/>
  <c r="D39" i="3"/>
  <c r="E39" i="3"/>
  <c r="F39" i="3"/>
  <c r="G39" i="3"/>
  <c r="H39" i="3"/>
  <c r="I39" i="3"/>
  <c r="J39" i="3"/>
  <c r="K39" i="3"/>
  <c r="B39" i="3"/>
  <c r="C30" i="3"/>
  <c r="D30" i="3"/>
  <c r="E30" i="3"/>
  <c r="F30" i="3"/>
  <c r="G30" i="3"/>
  <c r="H30" i="3"/>
  <c r="I30" i="3"/>
  <c r="J30" i="3"/>
  <c r="K30" i="3"/>
  <c r="B30" i="3"/>
  <c r="K55" i="2"/>
  <c r="K59" i="2" s="1"/>
  <c r="J55" i="2"/>
  <c r="J59" i="2" s="1"/>
  <c r="I55" i="2"/>
  <c r="I59" i="2" s="1"/>
  <c r="H55" i="2"/>
  <c r="H59" i="2" s="1"/>
  <c r="G55" i="2"/>
  <c r="G59" i="2" s="1"/>
  <c r="F55" i="2"/>
  <c r="F59" i="2" s="1"/>
  <c r="E55" i="2"/>
  <c r="E59" i="2" s="1"/>
  <c r="D55" i="2"/>
  <c r="D59" i="2" s="1"/>
  <c r="C55" i="2"/>
  <c r="C59" i="2" s="1"/>
  <c r="B55" i="2"/>
  <c r="B59" i="2" s="1"/>
  <c r="K41" i="2"/>
  <c r="K47" i="2" s="1"/>
  <c r="J41" i="2"/>
  <c r="J47" i="2" s="1"/>
  <c r="I41" i="2"/>
  <c r="I47" i="2" s="1"/>
  <c r="H41" i="2"/>
  <c r="H47" i="2" s="1"/>
  <c r="G41" i="2"/>
  <c r="G47" i="2" s="1"/>
  <c r="F41" i="2"/>
  <c r="F47" i="2" s="1"/>
  <c r="E41" i="2"/>
  <c r="E47" i="2" s="1"/>
  <c r="D41" i="2"/>
  <c r="D47" i="2" s="1"/>
  <c r="C41" i="2"/>
  <c r="C47" i="2" s="1"/>
  <c r="B41" i="2"/>
  <c r="B47" i="2" s="1"/>
  <c r="K9" i="2"/>
  <c r="K18" i="2" s="1"/>
  <c r="J9" i="2"/>
  <c r="J18" i="2" s="1"/>
  <c r="I9" i="2"/>
  <c r="I18" i="2" s="1"/>
  <c r="H9" i="2"/>
  <c r="H18" i="2" s="1"/>
  <c r="G9" i="2"/>
  <c r="G18" i="2" s="1"/>
  <c r="F9" i="2"/>
  <c r="F18" i="2" s="1"/>
  <c r="E9" i="2"/>
  <c r="E18" i="2" s="1"/>
  <c r="D9" i="2"/>
  <c r="D18" i="2" s="1"/>
  <c r="C9" i="2"/>
  <c r="C18" i="2" s="1"/>
  <c r="B9" i="2"/>
  <c r="B18" i="2" s="1"/>
  <c r="G14" i="4"/>
  <c r="G21" i="4" s="1"/>
  <c r="G25" i="4" s="1"/>
  <c r="G31" i="4" s="1"/>
  <c r="B9" i="4"/>
  <c r="B14" i="4" s="1"/>
  <c r="B21" i="4" s="1"/>
  <c r="B25" i="4" s="1"/>
  <c r="B31" i="4" s="1"/>
  <c r="E30" i="2" l="1"/>
  <c r="I30" i="2"/>
  <c r="J6" i="3"/>
  <c r="J19" i="3" s="1"/>
  <c r="J47" i="3" s="1"/>
  <c r="F6" i="3"/>
  <c r="F19" i="3" s="1"/>
  <c r="F47" i="3" s="1"/>
  <c r="D6" i="3"/>
  <c r="D19" i="3" s="1"/>
  <c r="D47" i="3" s="1"/>
  <c r="I6" i="3"/>
  <c r="I19" i="3" s="1"/>
  <c r="I47" i="3" s="1"/>
  <c r="E6" i="3"/>
  <c r="E19" i="3" s="1"/>
  <c r="E47" i="3" s="1"/>
  <c r="B6" i="3"/>
  <c r="B19" i="3" s="1"/>
  <c r="B47" i="3" s="1"/>
  <c r="H6" i="3"/>
  <c r="H19" i="3" s="1"/>
  <c r="H47" i="3" s="1"/>
  <c r="K6" i="3"/>
  <c r="K19" i="3" s="1"/>
  <c r="K47" i="3" s="1"/>
  <c r="G6" i="3"/>
  <c r="G19" i="3" s="1"/>
  <c r="G47" i="3" s="1"/>
  <c r="C6" i="3"/>
  <c r="C19" i="3" s="1"/>
  <c r="C47" i="3" s="1"/>
  <c r="B61" i="2"/>
  <c r="F61" i="2"/>
  <c r="J61" i="2"/>
  <c r="C61" i="2"/>
  <c r="G61" i="2"/>
  <c r="K61" i="2"/>
  <c r="D30" i="2"/>
  <c r="H30" i="2"/>
  <c r="C30" i="2"/>
  <c r="B30" i="2"/>
  <c r="G30" i="2"/>
  <c r="F30" i="2"/>
  <c r="K30" i="2"/>
  <c r="J30" i="2"/>
  <c r="D61" i="2"/>
  <c r="H61" i="2"/>
  <c r="E61" i="2"/>
  <c r="I6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76890C-F6A4-4965-92D5-C1E4A4D14186}" keepAlive="1" name="Query - COCA COLA CO" description="Connection to the 'COCA COLA CO' query in the workbook." type="5" refreshedVersion="8" background="1" saveData="1">
    <dbPr connection="Provider=Microsoft.Mashup.OleDb.1;Data Source=$Workbook$;Location=&quot;COCA COLA CO&quot;;Extended Properties=&quot;&quot;" command="SELECT * FROM [COCA COLA CO]"/>
  </connection>
</connections>
</file>

<file path=xl/sharedStrings.xml><?xml version="1.0" encoding="utf-8"?>
<sst xmlns="http://schemas.openxmlformats.org/spreadsheetml/2006/main" count="272" uniqueCount="120">
  <si>
    <t>Data provided by SimFin</t>
  </si>
  <si>
    <t>Profit &amp; Loss statement</t>
  </si>
  <si>
    <t>in million USD</t>
  </si>
  <si>
    <t>FY '09</t>
  </si>
  <si>
    <t>FY '10</t>
  </si>
  <si>
    <t>FY '11</t>
  </si>
  <si>
    <t>FY '12</t>
  </si>
  <si>
    <t>FY '13</t>
  </si>
  <si>
    <t>FY '14</t>
  </si>
  <si>
    <t>FY '15</t>
  </si>
  <si>
    <t>FY '16</t>
  </si>
  <si>
    <t>FY '17</t>
  </si>
  <si>
    <t>FY '18</t>
  </si>
  <si>
    <t>NET OPERATING REVENUES</t>
  </si>
  <si>
    <t>Cost of goods sold</t>
  </si>
  <si>
    <t>Gross Profit</t>
  </si>
  <si>
    <t>Selling, general and administrative expenses</t>
  </si>
  <si>
    <t>Other operating charges</t>
  </si>
  <si>
    <t>Operating Income</t>
  </si>
  <si>
    <t>Interest income</t>
  </si>
  <si>
    <t>Interest expense</t>
  </si>
  <si>
    <t>Equity income (loss) - net</t>
  </si>
  <si>
    <t>Other income (loss) - net</t>
  </si>
  <si>
    <t>Income before income taxes</t>
  </si>
  <si>
    <t>Income taxes</t>
  </si>
  <si>
    <t>CONSOLIDATED NET INCOME</t>
  </si>
  <si>
    <t>Less: Net income attributable to noncontrolling interests</t>
  </si>
  <si>
    <t>Net income from continuing operations</t>
  </si>
  <si>
    <t>Income (Loss) from Discontinued Operations, Net of Tax, Including Portion Attributable to Noncontrolling Interest</t>
  </si>
  <si>
    <t>NET INCOME ATTRIBUTABLE TO SHAREOWNERS OF THE COCA-COLA COMPANY</t>
  </si>
  <si>
    <t>Balance Sheet</t>
  </si>
  <si>
    <t>Assets</t>
  </si>
  <si>
    <t>Cash and cash equivalents</t>
  </si>
  <si>
    <t>Short-term investments</t>
  </si>
  <si>
    <t>Total cash, cash equivalents and short-term investments</t>
  </si>
  <si>
    <t>Marketable securities</t>
  </si>
  <si>
    <t>Trade accounts receivable, less allowances</t>
  </si>
  <si>
    <t>Inventories</t>
  </si>
  <si>
    <t>Prepaid expenses and other assets</t>
  </si>
  <si>
    <t>Assets held for sale</t>
  </si>
  <si>
    <t>Total current assets</t>
  </si>
  <si>
    <t>Equity method investments</t>
  </si>
  <si>
    <t>Other investments</t>
  </si>
  <si>
    <t>Other assets</t>
  </si>
  <si>
    <t>Property, plant and equipment - net</t>
  </si>
  <si>
    <t>Deferred income tax assets</t>
  </si>
  <si>
    <t>TRADEMARKS WITH INDEFINITE LIVES</t>
  </si>
  <si>
    <t>BOTTLERS' FRANCHISE RIGHTS WITH INDEFINITE LIVES</t>
  </si>
  <si>
    <t>Goodwill</t>
  </si>
  <si>
    <t>Other intangible assets</t>
  </si>
  <si>
    <t>Total assets</t>
  </si>
  <si>
    <t>Liabilities</t>
  </si>
  <si>
    <t>Accounts payable and accrued expenses</t>
  </si>
  <si>
    <t>Loans and notes payable</t>
  </si>
  <si>
    <t>Current maturities of long-term debt</t>
  </si>
  <si>
    <t>Accrued income taxes</t>
  </si>
  <si>
    <t>Liabilities held for sale</t>
  </si>
  <si>
    <t>Liabilities Held for Sale, Discontinued Operations</t>
  </si>
  <si>
    <t>Total current liabilities</t>
  </si>
  <si>
    <t>Long-term debt</t>
  </si>
  <si>
    <t>Other liabilities</t>
  </si>
  <si>
    <t>Deferred income taxes</t>
  </si>
  <si>
    <t>Common stock</t>
  </si>
  <si>
    <t>Capital surplus</t>
  </si>
  <si>
    <t>Reinvested earnings</t>
  </si>
  <si>
    <t>Accumulated other comprehensive income (loss)</t>
  </si>
  <si>
    <t>Treasury stock, at cost</t>
  </si>
  <si>
    <t>EQUITY ATTRIBUTABLE TO SHAREOWNERS OF THE COCA-COLA COMPANY</t>
  </si>
  <si>
    <t>Equity attributable to noncontrolling interests</t>
  </si>
  <si>
    <t>Total equity</t>
  </si>
  <si>
    <t>Total liabilities and equity</t>
  </si>
  <si>
    <t>Cash Flow statement</t>
  </si>
  <si>
    <t>Depreciation and amortization</t>
  </si>
  <si>
    <t>(Income) Loss from discontinued operations</t>
  </si>
  <si>
    <t>Stock-based compensation expense</t>
  </si>
  <si>
    <t>Equity (income) loss - net of dividends</t>
  </si>
  <si>
    <t>Foreign currency adjustments</t>
  </si>
  <si>
    <t>Significant (gains) losses on sales of assets - net</t>
  </si>
  <si>
    <t>Other significant (gains) losses - net</t>
  </si>
  <si>
    <t>Other items</t>
  </si>
  <si>
    <t>Net change in operating assets and liabilities</t>
  </si>
  <si>
    <t>Net cash provided by operating activities</t>
  </si>
  <si>
    <t>Purchases of short-term investments</t>
  </si>
  <si>
    <t>Purchases of investments</t>
  </si>
  <si>
    <t>Proceeds from disposals of investments</t>
  </si>
  <si>
    <t>Acquisitions of businesses, equity method investments and nonmarketable securities</t>
  </si>
  <si>
    <t>Proceeds from disposals of businesses, equity method investments and nonmarkatable securities</t>
  </si>
  <si>
    <t>Purchases of property, plant and equipment</t>
  </si>
  <si>
    <t>Proceeds from disposals of property, plant and equipment</t>
  </si>
  <si>
    <t>Other investing activities</t>
  </si>
  <si>
    <t>Net cash provided by (used in) investing activities</t>
  </si>
  <si>
    <t>Issuances of debt</t>
  </si>
  <si>
    <t>Payments of debt</t>
  </si>
  <si>
    <t>Issuances of stock</t>
  </si>
  <si>
    <t>Purchases of stock for treasury</t>
  </si>
  <si>
    <t>Dividends</t>
  </si>
  <si>
    <t>Other financing activities</t>
  </si>
  <si>
    <t>Net cash provided by (used in) financing activities</t>
  </si>
  <si>
    <t>Cash Provided by (Used in) Operating Activities, Discontinued Operations</t>
  </si>
  <si>
    <t>Effect of exchange rate changes on cash and cash equivalents</t>
  </si>
  <si>
    <t>Cash Provided by (Used in) Investing Activities, Discontinued Operations</t>
  </si>
  <si>
    <t>Cash Provided by (Used in) Financing Activities, Discontinued Operations</t>
  </si>
  <si>
    <t>Net Cash Provided by (Used in) Discontinued Operations</t>
  </si>
  <si>
    <t>Net increase (decrease) during the year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</si>
  <si>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</si>
  <si>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</si>
  <si>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</si>
  <si>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</si>
  <si>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</si>
  <si>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</si>
  <si>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</si>
  <si>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</si>
  <si>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</si>
  <si>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</si>
  <si>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Total Liabilities</t>
  </si>
  <si>
    <t>Column12</t>
  </si>
  <si>
    <t>Cash Flow Statement</t>
  </si>
  <si>
    <t>Balance sheet</t>
  </si>
  <si>
    <t>Profit &amp; Loss Statement</t>
  </si>
  <si>
    <t>Fiscal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</si>
</sst>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_);\(0\)"/>
    <numFmt numFmtId="169" formatCode="_(* #,##0_);_(* \(#,##0\);_(* &quot;-&quot;??_);_(@_)"/>
  </numFmts>
  <fonts count="9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u/>
      <sz val="11"/>
      <color rgb="FF000000"/>
      <name val="Calibri"/>
      <family val="2"/>
    </font>
    <font>
      <b/>
      <sz val="12"/>
      <color theme="0"/>
      <name val="Calibri"/>
      <family val="2"/>
    </font>
    <font>
      <sz val="11"/>
      <color rgb="FF0081C9"/>
      <name val="Calibri"/>
      <family val="2"/>
    </font>
    <font>
      <b/>
      <sz val="11"/>
      <color rgb="FF0081C9"/>
      <name val="Calibri"/>
      <family val="2"/>
    </font>
    <font>
      <b/>
      <u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theme="3"/>
        <bgColor indexed="64"/>
      </patternFill>
    </fill>
    <fill>
      <patternFill patternType="solid">
        <fgColor rgb="FFED77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2">
    <xf numFmtId="0" fontId="0" fillId="2" borderId="0" xfId="0" applyFill="1"/>
    <xf numFmtId="0" fontId="2" fillId="2" borderId="0" xfId="0" applyFont="1" applyFill="1"/>
    <xf numFmtId="0" fontId="0" fillId="2" borderId="1" xfId="0" applyFill="1" applyBorder="1"/>
    <xf numFmtId="164" fontId="2" fillId="2" borderId="2" xfId="0" applyNumberFormat="1" applyFont="1" applyFill="1" applyBorder="1"/>
    <xf numFmtId="164" fontId="0" fillId="2" borderId="2" xfId="0" applyNumberFormat="1" applyFill="1" applyBorder="1"/>
    <xf numFmtId="164" fontId="1" fillId="2" borderId="2" xfId="0" applyNumberFormat="1" applyFont="1" applyFill="1" applyBorder="1"/>
    <xf numFmtId="0" fontId="0" fillId="0" borderId="0" xfId="0" applyFill="1"/>
    <xf numFmtId="0" fontId="0" fillId="2" borderId="0" xfId="0" applyFill="1" applyBorder="1"/>
    <xf numFmtId="0" fontId="3" fillId="0" borderId="0" xfId="0" applyFont="1" applyFill="1"/>
    <xf numFmtId="0" fontId="3" fillId="3" borderId="0" xfId="0" applyFont="1" applyFill="1"/>
    <xf numFmtId="0" fontId="0" fillId="3" borderId="0" xfId="0" applyFill="1"/>
    <xf numFmtId="0" fontId="5" fillId="3" borderId="0" xfId="0" applyFont="1" applyFill="1"/>
    <xf numFmtId="0" fontId="1" fillId="2" borderId="2" xfId="0" applyFont="1" applyFill="1" applyBorder="1"/>
    <xf numFmtId="0" fontId="0" fillId="2" borderId="2" xfId="0" applyFill="1" applyBorder="1"/>
    <xf numFmtId="3" fontId="0" fillId="2" borderId="0" xfId="0" applyNumberFormat="1" applyFill="1" applyBorder="1"/>
    <xf numFmtId="0" fontId="2" fillId="2" borderId="2" xfId="0" applyFont="1" applyFill="1" applyBorder="1"/>
    <xf numFmtId="0" fontId="3" fillId="4" borderId="0" xfId="0" applyFont="1" applyFill="1" applyBorder="1"/>
    <xf numFmtId="0" fontId="3" fillId="0" borderId="0" xfId="0" applyFont="1" applyFill="1" applyBorder="1"/>
    <xf numFmtId="0" fontId="0" fillId="0" borderId="0" xfId="0" applyFill="1" applyBorder="1"/>
    <xf numFmtId="3" fontId="7" fillId="2" borderId="0" xfId="0" applyNumberFormat="1" applyFont="1" applyFill="1" applyBorder="1"/>
    <xf numFmtId="0" fontId="4" fillId="2" borderId="2" xfId="0" applyFont="1" applyFill="1" applyBorder="1"/>
    <xf numFmtId="0" fontId="8" fillId="2" borderId="2" xfId="0" applyFont="1" applyFill="1" applyBorder="1"/>
    <xf numFmtId="169" fontId="6" fillId="0" borderId="0" xfId="1" applyNumberFormat="1" applyFont="1" applyFill="1" applyBorder="1"/>
    <xf numFmtId="169" fontId="0" fillId="2" borderId="0" xfId="1" applyNumberFormat="1" applyFont="1" applyFill="1" applyBorder="1"/>
    <xf numFmtId="169" fontId="7" fillId="2" borderId="0" xfId="1" applyNumberFormat="1" applyFont="1" applyFill="1" applyBorder="1"/>
    <xf numFmtId="164" fontId="1" fillId="2" borderId="3" xfId="0" applyNumberFormat="1" applyFont="1" applyFill="1" applyBorder="1"/>
    <xf numFmtId="169" fontId="7" fillId="2" borderId="4" xfId="1" applyNumberFormat="1" applyFont="1" applyFill="1" applyBorder="1"/>
    <xf numFmtId="0" fontId="1" fillId="2" borderId="3" xfId="0" applyFont="1" applyFill="1" applyBorder="1"/>
    <xf numFmtId="3" fontId="7" fillId="2" borderId="4" xfId="0" applyNumberFormat="1" applyFont="1" applyFill="1" applyBorder="1"/>
    <xf numFmtId="0" fontId="3" fillId="4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0" fillId="2" borderId="0" xfId="0" applyNumberFormat="1" applyFill="1"/>
  </cellXfs>
  <cellStyles count="2">
    <cellStyle name="Comma" xfId="1" builtinId="3"/>
    <cellStyle name="Normal" xfId="0" builtinId="0"/>
  </cellStyles>
  <dxfs count="3"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ont>
        <color rgb="FF00B0F0"/>
      </font>
    </dxf>
  </dxfs>
  <tableStyles count="0" defaultTableStyle="TableStyleMedium9"/>
  <colors>
    <mruColors>
      <color rgb="FFED7700"/>
      <color rgb="FF0081C9"/>
      <color rgb="FFBBBBBB"/>
      <color rgb="FF1E23EA"/>
      <color rgb="FF538D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5A8467-6F0B-4D67-B230-9EBC840AEE63}" autoFormatId="16" applyNumberFormats="0" applyBorderFormats="0" applyFontFormats="0" applyPatternFormats="0" applyAlignmentFormats="0" applyWidthHeightFormats="0">
  <queryTableRefresh nextId="13">
    <queryTableFields count="12">
      <queryTableField id="1" name="Data provided by SimFin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CCFBAA-0CDE-4E6E-8D65-96D03A6A0633}" name="COCA_COLA_CO" displayName="COCA_COLA_CO" ref="A1:L104" tableType="queryTable" totalsRowShown="0">
  <autoFilter ref="A1:L104" xr:uid="{A1CCFBAA-0CDE-4E6E-8D65-96D03A6A0633}"/>
  <tableColumns count="12">
    <tableColumn id="1" xr3:uid="{3C32AF69-A127-403F-86B0-4DBE17CBFD7E}" uniqueName="1" name="Data provided by SimFin" queryTableFieldId="1" dataDxfId="1"/>
    <tableColumn id="2" xr3:uid="{9A5C6A07-5F7F-4015-B3D3-164E64B6E9C4}" uniqueName="2" name="Column2" queryTableFieldId="2" dataDxfId="0"/>
    <tableColumn id="3" xr3:uid="{121233DA-31F3-4A0D-A83D-A5065AA1D0D2}" uniqueName="3" name="Column3" queryTableFieldId="3"/>
    <tableColumn id="4" xr3:uid="{03A71416-BB11-48A9-B34E-C72CAFDDC984}" uniqueName="4" name="Column4" queryTableFieldId="4"/>
    <tableColumn id="5" xr3:uid="{FB343F7C-695B-48B8-9833-62E1B48C84B3}" uniqueName="5" name="Column5" queryTableFieldId="5"/>
    <tableColumn id="6" xr3:uid="{BDC50583-F472-4A7C-9349-3CB340CBE26C}" uniqueName="6" name="Column6" queryTableFieldId="6"/>
    <tableColumn id="7" xr3:uid="{80E43A76-A914-4416-B3C5-7005836FA0DE}" uniqueName="7" name="Column7" queryTableFieldId="7"/>
    <tableColumn id="8" xr3:uid="{16711A33-69CE-4737-84DE-15518DA7245D}" uniqueName="8" name="Column8" queryTableFieldId="8"/>
    <tableColumn id="9" xr3:uid="{7850458A-8747-47B4-B5BF-FAED5EE300A2}" uniqueName="9" name="Column9" queryTableFieldId="9"/>
    <tableColumn id="10" xr3:uid="{D6D554D9-7CCA-4DBE-8D08-E8168421F8DB}" uniqueName="10" name="Column10" queryTableFieldId="10"/>
    <tableColumn id="11" xr3:uid="{7935E60B-1CD8-43E1-80DD-87E153AA99F9}" uniqueName="11" name="Column11" queryTableFieldId="11"/>
    <tableColumn id="12" xr3:uid="{D89F9B7B-49EB-4AEE-ABEE-084FAA5032F0}" uniqueName="12" name="Column12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B468C-0C28-4A38-B94B-3B59FD7A6132}">
  <dimension ref="A1:L104"/>
  <sheetViews>
    <sheetView topLeftCell="C1" workbookViewId="0"/>
  </sheetViews>
  <sheetFormatPr defaultRowHeight="15" x14ac:dyDescent="0.25"/>
  <cols>
    <col min="1" max="1" width="25.140625" bestFit="1" customWidth="1"/>
    <col min="2" max="2" width="62" bestFit="1" customWidth="1"/>
    <col min="3" max="9" width="11.140625" bestFit="1" customWidth="1"/>
    <col min="10" max="12" width="12.140625" bestFit="1" customWidth="1"/>
  </cols>
  <sheetData>
    <row r="1" spans="1:12" x14ac:dyDescent="0.25">
      <c r="A1" t="s">
        <v>0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115</v>
      </c>
    </row>
    <row r="2" spans="1:12" x14ac:dyDescent="0.25">
      <c r="A2" s="31"/>
      <c r="B2" s="31"/>
    </row>
    <row r="3" spans="1:12" x14ac:dyDescent="0.25">
      <c r="A3" s="31" t="s">
        <v>1</v>
      </c>
      <c r="B3" s="31"/>
    </row>
    <row r="4" spans="1:12" x14ac:dyDescent="0.25">
      <c r="A4" s="31"/>
      <c r="B4" s="31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</row>
    <row r="5" spans="1:12" x14ac:dyDescent="0.25">
      <c r="A5" s="31"/>
      <c r="B5" s="31" t="s">
        <v>13</v>
      </c>
      <c r="C5">
        <v>30990</v>
      </c>
      <c r="D5">
        <v>35119</v>
      </c>
      <c r="E5">
        <v>46542</v>
      </c>
      <c r="F5">
        <v>48017</v>
      </c>
      <c r="G5">
        <v>46854</v>
      </c>
      <c r="H5">
        <v>45998</v>
      </c>
      <c r="I5">
        <v>44294</v>
      </c>
      <c r="J5">
        <v>41863</v>
      </c>
      <c r="K5">
        <v>35410</v>
      </c>
      <c r="L5">
        <v>31856</v>
      </c>
    </row>
    <row r="6" spans="1:12" x14ac:dyDescent="0.25">
      <c r="A6" s="31"/>
      <c r="B6" s="31" t="s">
        <v>14</v>
      </c>
      <c r="C6">
        <v>11088</v>
      </c>
      <c r="D6">
        <v>12693</v>
      </c>
      <c r="E6">
        <v>18215</v>
      </c>
      <c r="F6">
        <v>19053</v>
      </c>
      <c r="G6">
        <v>18421</v>
      </c>
      <c r="H6">
        <v>17889</v>
      </c>
      <c r="I6">
        <v>17482</v>
      </c>
      <c r="J6">
        <v>16465</v>
      </c>
      <c r="K6">
        <v>13255</v>
      </c>
      <c r="L6">
        <v>11770</v>
      </c>
    </row>
    <row r="7" spans="1:12" x14ac:dyDescent="0.25">
      <c r="A7" s="31"/>
      <c r="B7" s="31" t="s">
        <v>15</v>
      </c>
      <c r="C7">
        <v>19902</v>
      </c>
      <c r="D7">
        <v>22426</v>
      </c>
      <c r="E7">
        <v>28327</v>
      </c>
      <c r="F7">
        <v>28964</v>
      </c>
      <c r="G7">
        <v>28433</v>
      </c>
      <c r="H7">
        <v>28109</v>
      </c>
      <c r="I7">
        <v>26812</v>
      </c>
      <c r="J7">
        <v>25398</v>
      </c>
      <c r="K7">
        <v>22155</v>
      </c>
      <c r="L7">
        <v>20086</v>
      </c>
    </row>
    <row r="8" spans="1:12" x14ac:dyDescent="0.25">
      <c r="A8" s="31"/>
      <c r="B8" s="31" t="s">
        <v>16</v>
      </c>
      <c r="C8">
        <v>11358</v>
      </c>
      <c r="D8">
        <v>13194</v>
      </c>
      <c r="E8">
        <v>17422</v>
      </c>
      <c r="F8">
        <v>17738</v>
      </c>
      <c r="G8">
        <v>17310</v>
      </c>
      <c r="H8">
        <v>17218</v>
      </c>
      <c r="I8">
        <v>16427</v>
      </c>
      <c r="J8">
        <v>15262</v>
      </c>
      <c r="K8">
        <v>12654</v>
      </c>
      <c r="L8">
        <v>10307</v>
      </c>
    </row>
    <row r="9" spans="1:12" x14ac:dyDescent="0.25">
      <c r="A9" s="31"/>
      <c r="B9" s="31" t="s">
        <v>17</v>
      </c>
      <c r="C9">
        <v>313</v>
      </c>
      <c r="D9">
        <v>819</v>
      </c>
      <c r="E9">
        <v>732</v>
      </c>
      <c r="F9">
        <v>447</v>
      </c>
      <c r="G9">
        <v>895</v>
      </c>
      <c r="H9">
        <v>1183</v>
      </c>
      <c r="I9">
        <v>1657</v>
      </c>
      <c r="J9">
        <v>1510</v>
      </c>
      <c r="K9">
        <v>1902</v>
      </c>
      <c r="L9">
        <v>1079</v>
      </c>
    </row>
    <row r="10" spans="1:12" x14ac:dyDescent="0.25">
      <c r="A10" s="31"/>
      <c r="B10" s="31" t="s">
        <v>18</v>
      </c>
      <c r="C10">
        <v>8231</v>
      </c>
      <c r="D10">
        <v>8413</v>
      </c>
      <c r="E10">
        <v>10173</v>
      </c>
      <c r="F10">
        <v>10779</v>
      </c>
      <c r="G10">
        <v>10228</v>
      </c>
      <c r="H10">
        <v>9708</v>
      </c>
      <c r="I10">
        <v>8728</v>
      </c>
      <c r="J10">
        <v>8626</v>
      </c>
      <c r="K10">
        <v>7599</v>
      </c>
      <c r="L10">
        <v>8700</v>
      </c>
    </row>
    <row r="11" spans="1:12" x14ac:dyDescent="0.25">
      <c r="A11" s="31"/>
      <c r="B11" s="31" t="s">
        <v>19</v>
      </c>
      <c r="C11">
        <v>249</v>
      </c>
      <c r="D11">
        <v>317</v>
      </c>
      <c r="E11">
        <v>483</v>
      </c>
      <c r="F11">
        <v>471</v>
      </c>
      <c r="G11">
        <v>534</v>
      </c>
      <c r="H11">
        <v>594</v>
      </c>
      <c r="I11">
        <v>613</v>
      </c>
      <c r="J11">
        <v>642</v>
      </c>
      <c r="K11">
        <v>677</v>
      </c>
      <c r="L11">
        <v>682</v>
      </c>
    </row>
    <row r="12" spans="1:12" x14ac:dyDescent="0.25">
      <c r="A12" s="31"/>
      <c r="B12" s="31" t="s">
        <v>20</v>
      </c>
      <c r="C12">
        <v>355</v>
      </c>
      <c r="D12">
        <v>733</v>
      </c>
      <c r="E12">
        <v>417</v>
      </c>
      <c r="F12">
        <v>397</v>
      </c>
      <c r="G12">
        <v>463</v>
      </c>
      <c r="H12">
        <v>483</v>
      </c>
      <c r="I12">
        <v>856</v>
      </c>
      <c r="J12">
        <v>733</v>
      </c>
      <c r="K12">
        <v>841</v>
      </c>
      <c r="L12">
        <v>919</v>
      </c>
    </row>
    <row r="13" spans="1:12" x14ac:dyDescent="0.25">
      <c r="A13" s="31"/>
      <c r="B13" s="31" t="s">
        <v>21</v>
      </c>
      <c r="C13">
        <v>781</v>
      </c>
      <c r="D13">
        <v>1025</v>
      </c>
      <c r="E13">
        <v>690</v>
      </c>
      <c r="F13">
        <v>819</v>
      </c>
      <c r="G13">
        <v>602</v>
      </c>
      <c r="H13">
        <v>769</v>
      </c>
      <c r="I13">
        <v>489</v>
      </c>
      <c r="J13">
        <v>835</v>
      </c>
      <c r="K13">
        <v>1071</v>
      </c>
      <c r="L13">
        <v>1008</v>
      </c>
    </row>
    <row r="14" spans="1:12" x14ac:dyDescent="0.25">
      <c r="A14" s="31"/>
      <c r="B14" s="31" t="s">
        <v>22</v>
      </c>
      <c r="C14">
        <v>40</v>
      </c>
      <c r="D14">
        <v>5185</v>
      </c>
      <c r="E14">
        <v>529</v>
      </c>
      <c r="F14">
        <v>137</v>
      </c>
      <c r="G14">
        <v>576</v>
      </c>
      <c r="H14">
        <v>-1263</v>
      </c>
      <c r="I14">
        <v>631</v>
      </c>
      <c r="J14">
        <v>-1234</v>
      </c>
      <c r="K14">
        <v>-1764</v>
      </c>
      <c r="L14">
        <v>-1121</v>
      </c>
    </row>
    <row r="15" spans="1:12" x14ac:dyDescent="0.25">
      <c r="A15" s="31"/>
      <c r="B15" s="31" t="s">
        <v>23</v>
      </c>
      <c r="C15">
        <v>8946</v>
      </c>
      <c r="D15">
        <v>14207</v>
      </c>
      <c r="E15">
        <v>11458</v>
      </c>
      <c r="F15">
        <v>11809</v>
      </c>
      <c r="G15">
        <v>11477</v>
      </c>
      <c r="H15">
        <v>9325</v>
      </c>
      <c r="I15">
        <v>9605</v>
      </c>
      <c r="J15">
        <v>8136</v>
      </c>
      <c r="K15">
        <v>6742</v>
      </c>
      <c r="L15">
        <v>8350</v>
      </c>
    </row>
    <row r="16" spans="1:12" x14ac:dyDescent="0.25">
      <c r="A16" s="31"/>
      <c r="B16" s="31" t="s">
        <v>24</v>
      </c>
      <c r="C16">
        <v>2040</v>
      </c>
      <c r="D16">
        <v>2370</v>
      </c>
      <c r="E16">
        <v>2812</v>
      </c>
      <c r="F16">
        <v>2723</v>
      </c>
      <c r="G16">
        <v>2851</v>
      </c>
      <c r="H16">
        <v>2201</v>
      </c>
      <c r="I16">
        <v>2239</v>
      </c>
      <c r="J16">
        <v>1586</v>
      </c>
      <c r="K16">
        <v>5560</v>
      </c>
      <c r="L16">
        <v>1623</v>
      </c>
    </row>
    <row r="17" spans="1:12" x14ac:dyDescent="0.25">
      <c r="A17" s="31"/>
      <c r="B17" s="31" t="s">
        <v>25</v>
      </c>
      <c r="C17">
        <v>6906</v>
      </c>
      <c r="D17">
        <v>11837</v>
      </c>
      <c r="E17">
        <v>8646</v>
      </c>
      <c r="F17">
        <v>9086</v>
      </c>
      <c r="G17">
        <v>8626</v>
      </c>
      <c r="H17">
        <v>7124</v>
      </c>
      <c r="I17">
        <v>7366</v>
      </c>
      <c r="J17">
        <v>6550</v>
      </c>
      <c r="K17">
        <v>1283</v>
      </c>
      <c r="L17">
        <v>6476</v>
      </c>
    </row>
    <row r="18" spans="1:12" x14ac:dyDescent="0.25">
      <c r="A18" s="31"/>
      <c r="B18" s="31" t="s">
        <v>26</v>
      </c>
      <c r="C18">
        <v>82</v>
      </c>
      <c r="D18">
        <v>50</v>
      </c>
      <c r="E18">
        <v>62</v>
      </c>
      <c r="F18">
        <v>67</v>
      </c>
      <c r="G18">
        <v>42</v>
      </c>
      <c r="H18">
        <v>26</v>
      </c>
      <c r="I18">
        <v>15</v>
      </c>
      <c r="J18">
        <v>23</v>
      </c>
      <c r="K18">
        <v>35</v>
      </c>
      <c r="L18">
        <v>42</v>
      </c>
    </row>
    <row r="19" spans="1:12" x14ac:dyDescent="0.25">
      <c r="A19" s="31"/>
      <c r="B19" s="31" t="s">
        <v>27</v>
      </c>
      <c r="I19">
        <v>7366</v>
      </c>
      <c r="J19">
        <v>6550</v>
      </c>
      <c r="K19">
        <v>1182</v>
      </c>
      <c r="L19">
        <v>6727</v>
      </c>
    </row>
    <row r="20" spans="1:12" x14ac:dyDescent="0.25">
      <c r="A20" s="31"/>
      <c r="B20" s="31" t="s">
        <v>28</v>
      </c>
      <c r="I20">
        <v>0</v>
      </c>
      <c r="J20">
        <v>0</v>
      </c>
      <c r="K20">
        <v>101</v>
      </c>
      <c r="L20">
        <v>-251</v>
      </c>
    </row>
    <row r="21" spans="1:12" x14ac:dyDescent="0.25">
      <c r="A21" s="31"/>
      <c r="B21" s="31" t="s">
        <v>29</v>
      </c>
      <c r="C21">
        <v>6824</v>
      </c>
      <c r="D21">
        <v>11787</v>
      </c>
      <c r="E21">
        <v>8584</v>
      </c>
      <c r="F21">
        <v>9019</v>
      </c>
      <c r="G21">
        <v>8584</v>
      </c>
      <c r="H21">
        <v>7098</v>
      </c>
      <c r="I21">
        <v>7351</v>
      </c>
      <c r="J21">
        <v>6527</v>
      </c>
      <c r="K21">
        <v>1248</v>
      </c>
      <c r="L21">
        <v>6434</v>
      </c>
    </row>
    <row r="22" spans="1:12" x14ac:dyDescent="0.25">
      <c r="A22" s="31"/>
      <c r="B22" s="31"/>
    </row>
    <row r="23" spans="1:12" x14ac:dyDescent="0.25">
      <c r="A23" s="31" t="s">
        <v>30</v>
      </c>
      <c r="B23" s="31"/>
    </row>
    <row r="24" spans="1:12" x14ac:dyDescent="0.25">
      <c r="A24" s="31"/>
      <c r="B24" s="31" t="s">
        <v>2</v>
      </c>
      <c r="C24" t="s">
        <v>3</v>
      </c>
      <c r="D24" t="s">
        <v>4</v>
      </c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L24" t="s">
        <v>12</v>
      </c>
    </row>
    <row r="25" spans="1:12" x14ac:dyDescent="0.25">
      <c r="A25" s="31"/>
      <c r="B25" s="31" t="s">
        <v>31</v>
      </c>
    </row>
    <row r="26" spans="1:12" x14ac:dyDescent="0.25">
      <c r="A26" s="31"/>
      <c r="B26" s="31" t="s">
        <v>32</v>
      </c>
      <c r="C26">
        <v>7021</v>
      </c>
      <c r="D26">
        <v>8517</v>
      </c>
      <c r="E26">
        <v>12803</v>
      </c>
      <c r="F26">
        <v>8442</v>
      </c>
      <c r="G26">
        <v>10414</v>
      </c>
      <c r="H26">
        <v>8958</v>
      </c>
      <c r="I26">
        <v>7309</v>
      </c>
      <c r="J26">
        <v>8555</v>
      </c>
      <c r="K26">
        <v>6006</v>
      </c>
      <c r="L26">
        <v>8926</v>
      </c>
    </row>
    <row r="27" spans="1:12" x14ac:dyDescent="0.25">
      <c r="A27" s="31"/>
      <c r="B27" s="31" t="s">
        <v>33</v>
      </c>
      <c r="C27">
        <v>2130</v>
      </c>
      <c r="D27">
        <v>2682</v>
      </c>
      <c r="E27">
        <v>1088</v>
      </c>
      <c r="F27">
        <v>5017</v>
      </c>
      <c r="G27">
        <v>6707</v>
      </c>
      <c r="H27">
        <v>9052</v>
      </c>
      <c r="I27">
        <v>8322</v>
      </c>
      <c r="J27">
        <v>9595</v>
      </c>
      <c r="K27">
        <v>9352</v>
      </c>
      <c r="L27">
        <v>2025</v>
      </c>
    </row>
    <row r="28" spans="1:12" x14ac:dyDescent="0.25">
      <c r="A28" s="31"/>
      <c r="B28" s="31" t="s">
        <v>34</v>
      </c>
      <c r="C28">
        <v>9151</v>
      </c>
      <c r="D28">
        <v>11199</v>
      </c>
      <c r="E28">
        <v>13891</v>
      </c>
      <c r="F28">
        <v>13459</v>
      </c>
      <c r="G28">
        <v>17121</v>
      </c>
      <c r="H28">
        <v>18010</v>
      </c>
      <c r="I28">
        <v>15631</v>
      </c>
      <c r="J28">
        <v>18150</v>
      </c>
      <c r="K28">
        <v>15358</v>
      </c>
      <c r="L28">
        <v>10951</v>
      </c>
    </row>
    <row r="29" spans="1:12" x14ac:dyDescent="0.25">
      <c r="A29" s="31"/>
      <c r="B29" s="31" t="s">
        <v>35</v>
      </c>
      <c r="C29">
        <v>62</v>
      </c>
      <c r="D29">
        <v>138</v>
      </c>
      <c r="E29">
        <v>144</v>
      </c>
      <c r="F29">
        <v>3092</v>
      </c>
      <c r="G29">
        <v>3147</v>
      </c>
      <c r="H29">
        <v>3665</v>
      </c>
      <c r="I29">
        <v>4269</v>
      </c>
      <c r="J29">
        <v>4051</v>
      </c>
      <c r="K29">
        <v>5317</v>
      </c>
      <c r="L29">
        <v>5013</v>
      </c>
    </row>
    <row r="30" spans="1:12" x14ac:dyDescent="0.25">
      <c r="A30" s="31"/>
      <c r="B30" s="31" t="s">
        <v>36</v>
      </c>
      <c r="C30">
        <v>3758</v>
      </c>
      <c r="D30">
        <v>4430</v>
      </c>
      <c r="E30">
        <v>4920</v>
      </c>
      <c r="F30">
        <v>4759</v>
      </c>
      <c r="G30">
        <v>4873</v>
      </c>
      <c r="H30">
        <v>4466</v>
      </c>
      <c r="I30">
        <v>3941</v>
      </c>
      <c r="J30">
        <v>3856</v>
      </c>
      <c r="K30">
        <v>3667</v>
      </c>
      <c r="L30">
        <v>3396</v>
      </c>
    </row>
    <row r="31" spans="1:12" x14ac:dyDescent="0.25">
      <c r="A31" s="31"/>
      <c r="B31" s="31" t="s">
        <v>37</v>
      </c>
      <c r="C31">
        <v>2354</v>
      </c>
      <c r="D31">
        <v>2650</v>
      </c>
      <c r="E31">
        <v>3092</v>
      </c>
      <c r="F31">
        <v>3264</v>
      </c>
      <c r="G31">
        <v>3277</v>
      </c>
      <c r="H31">
        <v>3100</v>
      </c>
      <c r="I31">
        <v>2902</v>
      </c>
      <c r="J31">
        <v>2675</v>
      </c>
      <c r="K31">
        <v>2655</v>
      </c>
      <c r="L31">
        <v>2766</v>
      </c>
    </row>
    <row r="32" spans="1:12" x14ac:dyDescent="0.25">
      <c r="A32" s="31"/>
      <c r="B32" s="31" t="s">
        <v>38</v>
      </c>
      <c r="C32">
        <v>2226</v>
      </c>
      <c r="D32">
        <v>3162</v>
      </c>
      <c r="E32">
        <v>3450</v>
      </c>
      <c r="F32">
        <v>2781</v>
      </c>
      <c r="G32">
        <v>2886</v>
      </c>
      <c r="H32">
        <v>3066</v>
      </c>
      <c r="I32">
        <v>2752</v>
      </c>
      <c r="J32">
        <v>2481</v>
      </c>
      <c r="K32">
        <v>2000</v>
      </c>
      <c r="L32">
        <v>1962</v>
      </c>
    </row>
    <row r="33" spans="1:12" x14ac:dyDescent="0.25">
      <c r="A33" s="31"/>
      <c r="B33" s="31" t="s">
        <v>39</v>
      </c>
      <c r="E33">
        <v>0</v>
      </c>
      <c r="F33">
        <v>2973</v>
      </c>
      <c r="G33">
        <v>0</v>
      </c>
      <c r="H33">
        <v>679</v>
      </c>
      <c r="I33">
        <v>3900</v>
      </c>
      <c r="J33">
        <v>0</v>
      </c>
      <c r="K33">
        <v>7329</v>
      </c>
      <c r="L33">
        <v>6546</v>
      </c>
    </row>
    <row r="34" spans="1:12" x14ac:dyDescent="0.25">
      <c r="A34" s="31"/>
      <c r="B34" s="31" t="s">
        <v>39</v>
      </c>
      <c r="J34">
        <v>2797</v>
      </c>
      <c r="K34">
        <v>219</v>
      </c>
      <c r="L34">
        <v>0</v>
      </c>
    </row>
    <row r="35" spans="1:12" x14ac:dyDescent="0.25">
      <c r="A35" s="31"/>
      <c r="B35" s="31" t="s">
        <v>40</v>
      </c>
      <c r="C35">
        <v>17551</v>
      </c>
      <c r="D35">
        <v>21579</v>
      </c>
      <c r="E35">
        <v>25497</v>
      </c>
      <c r="F35">
        <v>30328</v>
      </c>
      <c r="G35">
        <v>31304</v>
      </c>
      <c r="H35">
        <v>32986</v>
      </c>
      <c r="I35">
        <v>33395</v>
      </c>
      <c r="J35">
        <v>34010</v>
      </c>
      <c r="K35">
        <v>36545</v>
      </c>
      <c r="L35">
        <v>30634</v>
      </c>
    </row>
    <row r="36" spans="1:12" x14ac:dyDescent="0.25">
      <c r="A36" s="31"/>
      <c r="B36" s="31" t="s">
        <v>41</v>
      </c>
      <c r="C36">
        <v>6217</v>
      </c>
      <c r="D36">
        <v>6954</v>
      </c>
      <c r="E36">
        <v>7233</v>
      </c>
      <c r="F36">
        <v>9216</v>
      </c>
      <c r="G36">
        <v>10393</v>
      </c>
      <c r="H36">
        <v>9947</v>
      </c>
      <c r="I36">
        <v>12318</v>
      </c>
      <c r="J36">
        <v>16260</v>
      </c>
      <c r="K36">
        <v>20856</v>
      </c>
      <c r="L36">
        <v>19407</v>
      </c>
    </row>
    <row r="37" spans="1:12" x14ac:dyDescent="0.25">
      <c r="A37" s="31"/>
      <c r="B37" s="31" t="s">
        <v>42</v>
      </c>
      <c r="C37">
        <v>538</v>
      </c>
      <c r="D37">
        <v>631</v>
      </c>
      <c r="E37">
        <v>1141</v>
      </c>
      <c r="F37">
        <v>1232</v>
      </c>
      <c r="G37">
        <v>1119</v>
      </c>
      <c r="H37">
        <v>3678</v>
      </c>
      <c r="I37">
        <v>3470</v>
      </c>
      <c r="J37">
        <v>989</v>
      </c>
      <c r="K37">
        <v>1096</v>
      </c>
      <c r="L37">
        <v>867</v>
      </c>
    </row>
    <row r="38" spans="1:12" x14ac:dyDescent="0.25">
      <c r="A38" s="31"/>
      <c r="B38" s="31" t="s">
        <v>43</v>
      </c>
      <c r="C38">
        <v>1976</v>
      </c>
      <c r="D38">
        <v>2121</v>
      </c>
      <c r="E38">
        <v>3495</v>
      </c>
      <c r="F38">
        <v>3585</v>
      </c>
      <c r="G38">
        <v>4661</v>
      </c>
      <c r="H38">
        <v>4407</v>
      </c>
      <c r="I38">
        <v>4110</v>
      </c>
      <c r="J38">
        <v>4248</v>
      </c>
      <c r="K38">
        <v>4230</v>
      </c>
      <c r="L38">
        <v>4139</v>
      </c>
    </row>
    <row r="39" spans="1:12" x14ac:dyDescent="0.25">
      <c r="A39" s="31"/>
      <c r="B39" s="31" t="s">
        <v>44</v>
      </c>
      <c r="C39">
        <v>9561</v>
      </c>
      <c r="D39">
        <v>14727</v>
      </c>
      <c r="E39">
        <v>14939</v>
      </c>
      <c r="F39">
        <v>14476</v>
      </c>
      <c r="G39">
        <v>14967</v>
      </c>
      <c r="H39">
        <v>14633</v>
      </c>
      <c r="I39">
        <v>12571</v>
      </c>
      <c r="J39">
        <v>10635</v>
      </c>
      <c r="K39">
        <v>8203</v>
      </c>
      <c r="L39">
        <v>8232</v>
      </c>
    </row>
    <row r="40" spans="1:12" x14ac:dyDescent="0.25">
      <c r="A40" s="31"/>
      <c r="B40" s="31" t="s">
        <v>45</v>
      </c>
      <c r="K40">
        <v>330</v>
      </c>
      <c r="L40">
        <v>2667</v>
      </c>
    </row>
    <row r="41" spans="1:12" x14ac:dyDescent="0.25">
      <c r="A41" s="31"/>
      <c r="B41" s="31" t="s">
        <v>46</v>
      </c>
      <c r="C41">
        <v>6183</v>
      </c>
      <c r="D41">
        <v>6356</v>
      </c>
      <c r="E41">
        <v>6430</v>
      </c>
      <c r="F41">
        <v>6527</v>
      </c>
      <c r="G41">
        <v>6744</v>
      </c>
      <c r="H41">
        <v>6533</v>
      </c>
      <c r="I41">
        <v>5989</v>
      </c>
      <c r="J41">
        <v>6097</v>
      </c>
      <c r="K41">
        <v>6729</v>
      </c>
      <c r="L41">
        <v>6682</v>
      </c>
    </row>
    <row r="42" spans="1:12" x14ac:dyDescent="0.25">
      <c r="A42" s="31"/>
      <c r="B42" s="31" t="s">
        <v>47</v>
      </c>
      <c r="C42">
        <v>1953</v>
      </c>
      <c r="D42">
        <v>7511</v>
      </c>
      <c r="E42">
        <v>7770</v>
      </c>
      <c r="F42">
        <v>7405</v>
      </c>
      <c r="G42">
        <v>7415</v>
      </c>
      <c r="H42">
        <v>6689</v>
      </c>
      <c r="I42">
        <v>6000</v>
      </c>
      <c r="J42">
        <v>3676</v>
      </c>
      <c r="K42">
        <v>138</v>
      </c>
      <c r="L42">
        <v>51</v>
      </c>
    </row>
    <row r="43" spans="1:12" x14ac:dyDescent="0.25">
      <c r="A43" s="31"/>
      <c r="B43" s="31" t="s">
        <v>48</v>
      </c>
      <c r="C43">
        <v>4224</v>
      </c>
      <c r="D43">
        <v>11665</v>
      </c>
      <c r="E43">
        <v>12219</v>
      </c>
      <c r="F43">
        <v>12255</v>
      </c>
      <c r="G43">
        <v>12312</v>
      </c>
      <c r="H43">
        <v>12100</v>
      </c>
      <c r="I43">
        <v>11289</v>
      </c>
      <c r="J43">
        <v>10629</v>
      </c>
      <c r="K43">
        <v>9401</v>
      </c>
      <c r="L43">
        <v>10263</v>
      </c>
    </row>
    <row r="44" spans="1:12" x14ac:dyDescent="0.25">
      <c r="A44" s="31"/>
      <c r="B44" s="31" t="s">
        <v>49</v>
      </c>
      <c r="C44">
        <v>468</v>
      </c>
      <c r="D44">
        <v>1377</v>
      </c>
      <c r="E44">
        <v>1250</v>
      </c>
      <c r="F44">
        <v>1150</v>
      </c>
      <c r="G44">
        <v>1140</v>
      </c>
      <c r="H44">
        <v>1050</v>
      </c>
      <c r="I44">
        <v>854</v>
      </c>
      <c r="J44">
        <v>726</v>
      </c>
      <c r="K44">
        <v>368</v>
      </c>
      <c r="L44">
        <v>274</v>
      </c>
    </row>
    <row r="45" spans="1:12" x14ac:dyDescent="0.25">
      <c r="A45" s="31"/>
      <c r="B45" s="31" t="s">
        <v>50</v>
      </c>
      <c r="C45">
        <v>48671</v>
      </c>
      <c r="D45">
        <v>72921</v>
      </c>
      <c r="E45">
        <v>79974</v>
      </c>
      <c r="F45">
        <v>86174</v>
      </c>
      <c r="G45">
        <v>90055</v>
      </c>
      <c r="H45">
        <v>92023</v>
      </c>
      <c r="I45">
        <v>89996</v>
      </c>
      <c r="J45">
        <v>87270</v>
      </c>
      <c r="K45">
        <v>87896</v>
      </c>
      <c r="L45">
        <v>83216</v>
      </c>
    </row>
    <row r="46" spans="1:12" x14ac:dyDescent="0.25">
      <c r="A46" s="31"/>
      <c r="B46" s="31" t="s">
        <v>51</v>
      </c>
    </row>
    <row r="47" spans="1:12" x14ac:dyDescent="0.25">
      <c r="A47" s="31"/>
      <c r="B47" s="31" t="s">
        <v>52</v>
      </c>
      <c r="C47">
        <v>6657</v>
      </c>
      <c r="D47">
        <v>8859</v>
      </c>
      <c r="E47">
        <v>9009</v>
      </c>
      <c r="F47">
        <v>8680</v>
      </c>
      <c r="G47">
        <v>9577</v>
      </c>
      <c r="H47">
        <v>9234</v>
      </c>
      <c r="I47">
        <v>9660</v>
      </c>
      <c r="J47">
        <v>9490</v>
      </c>
      <c r="K47">
        <v>8748</v>
      </c>
      <c r="L47">
        <v>8932</v>
      </c>
    </row>
    <row r="48" spans="1:12" x14ac:dyDescent="0.25">
      <c r="A48" s="31"/>
      <c r="B48" s="31" t="s">
        <v>53</v>
      </c>
      <c r="C48">
        <v>6749</v>
      </c>
      <c r="D48">
        <v>8100</v>
      </c>
      <c r="E48">
        <v>12871</v>
      </c>
      <c r="F48">
        <v>16297</v>
      </c>
      <c r="G48">
        <v>16901</v>
      </c>
      <c r="H48">
        <v>19130</v>
      </c>
      <c r="I48">
        <v>13129</v>
      </c>
      <c r="J48">
        <v>12498</v>
      </c>
      <c r="K48">
        <v>13205</v>
      </c>
      <c r="L48">
        <v>13194</v>
      </c>
    </row>
    <row r="49" spans="1:12" x14ac:dyDescent="0.25">
      <c r="A49" s="31"/>
      <c r="B49" s="31" t="s">
        <v>54</v>
      </c>
      <c r="C49">
        <v>51</v>
      </c>
      <c r="D49">
        <v>1276</v>
      </c>
      <c r="E49">
        <v>2041</v>
      </c>
      <c r="F49">
        <v>1577</v>
      </c>
      <c r="G49">
        <v>1024</v>
      </c>
      <c r="H49">
        <v>3552</v>
      </c>
      <c r="I49">
        <v>2676</v>
      </c>
      <c r="J49">
        <v>3527</v>
      </c>
      <c r="K49">
        <v>3298</v>
      </c>
      <c r="L49">
        <v>4997</v>
      </c>
    </row>
    <row r="50" spans="1:12" x14ac:dyDescent="0.25">
      <c r="A50" s="31"/>
      <c r="B50" s="31" t="s">
        <v>55</v>
      </c>
      <c r="C50">
        <v>264</v>
      </c>
      <c r="D50">
        <v>273</v>
      </c>
      <c r="E50">
        <v>362</v>
      </c>
      <c r="F50">
        <v>471</v>
      </c>
      <c r="G50">
        <v>309</v>
      </c>
      <c r="H50">
        <v>400</v>
      </c>
      <c r="I50">
        <v>331</v>
      </c>
      <c r="J50">
        <v>307</v>
      </c>
      <c r="K50">
        <v>410</v>
      </c>
      <c r="L50">
        <v>378</v>
      </c>
    </row>
    <row r="51" spans="1:12" x14ac:dyDescent="0.25">
      <c r="A51" s="31"/>
      <c r="B51" s="31" t="s">
        <v>56</v>
      </c>
      <c r="E51">
        <v>0</v>
      </c>
      <c r="F51">
        <v>796</v>
      </c>
      <c r="G51">
        <v>0</v>
      </c>
      <c r="H51">
        <v>58</v>
      </c>
      <c r="I51">
        <v>1133</v>
      </c>
      <c r="J51">
        <v>710</v>
      </c>
      <c r="K51">
        <v>37</v>
      </c>
      <c r="L51">
        <v>0</v>
      </c>
    </row>
    <row r="52" spans="1:12" x14ac:dyDescent="0.25">
      <c r="A52" s="31"/>
      <c r="B52" s="31" t="s">
        <v>57</v>
      </c>
      <c r="J52">
        <v>0</v>
      </c>
      <c r="K52">
        <v>1496</v>
      </c>
      <c r="L52">
        <v>1722</v>
      </c>
    </row>
    <row r="53" spans="1:12" x14ac:dyDescent="0.25">
      <c r="A53" s="31"/>
      <c r="B53" s="31" t="s">
        <v>58</v>
      </c>
      <c r="C53">
        <v>13721</v>
      </c>
      <c r="D53">
        <v>18508</v>
      </c>
      <c r="E53">
        <v>24283</v>
      </c>
      <c r="F53">
        <v>27821</v>
      </c>
      <c r="G53">
        <v>27811</v>
      </c>
      <c r="H53">
        <v>32374</v>
      </c>
      <c r="I53">
        <v>26929</v>
      </c>
      <c r="J53">
        <v>26532</v>
      </c>
      <c r="K53">
        <v>27194</v>
      </c>
      <c r="L53">
        <v>29223</v>
      </c>
    </row>
    <row r="54" spans="1:12" x14ac:dyDescent="0.25">
      <c r="A54" s="31"/>
      <c r="B54" s="31" t="s">
        <v>59</v>
      </c>
      <c r="C54">
        <v>5059</v>
      </c>
      <c r="D54">
        <v>14041</v>
      </c>
      <c r="E54">
        <v>13656</v>
      </c>
      <c r="F54">
        <v>14736</v>
      </c>
      <c r="G54">
        <v>19154</v>
      </c>
      <c r="H54">
        <v>19063</v>
      </c>
      <c r="I54">
        <v>28311</v>
      </c>
      <c r="J54">
        <v>29684</v>
      </c>
      <c r="K54">
        <v>31182</v>
      </c>
      <c r="L54">
        <v>25364</v>
      </c>
    </row>
    <row r="55" spans="1:12" x14ac:dyDescent="0.25">
      <c r="A55" s="31"/>
      <c r="B55" s="31" t="s">
        <v>60</v>
      </c>
      <c r="C55">
        <v>2965</v>
      </c>
      <c r="D55">
        <v>4794</v>
      </c>
      <c r="E55">
        <v>5420</v>
      </c>
      <c r="F55">
        <v>5468</v>
      </c>
      <c r="G55">
        <v>3498</v>
      </c>
      <c r="H55">
        <v>4389</v>
      </c>
      <c r="I55">
        <v>4301</v>
      </c>
      <c r="J55">
        <v>4081</v>
      </c>
      <c r="K55">
        <v>8021</v>
      </c>
      <c r="L55">
        <v>7638</v>
      </c>
    </row>
    <row r="56" spans="1:12" x14ac:dyDescent="0.25">
      <c r="A56" s="31"/>
      <c r="B56" s="31" t="s">
        <v>61</v>
      </c>
      <c r="C56">
        <v>1580</v>
      </c>
      <c r="D56">
        <v>4261</v>
      </c>
      <c r="E56">
        <v>4694</v>
      </c>
      <c r="F56">
        <v>4981</v>
      </c>
      <c r="G56">
        <v>6152</v>
      </c>
      <c r="H56">
        <v>5636</v>
      </c>
      <c r="I56">
        <v>4691</v>
      </c>
      <c r="J56">
        <v>3753</v>
      </c>
      <c r="K56">
        <v>2522</v>
      </c>
      <c r="L56">
        <v>1933</v>
      </c>
    </row>
    <row r="57" spans="1:12" x14ac:dyDescent="0.25">
      <c r="A57" s="31"/>
      <c r="B57" s="31" t="s">
        <v>62</v>
      </c>
      <c r="C57">
        <v>880</v>
      </c>
      <c r="D57">
        <v>880</v>
      </c>
      <c r="E57">
        <v>1760</v>
      </c>
      <c r="F57">
        <v>1760</v>
      </c>
      <c r="G57">
        <v>1760</v>
      </c>
      <c r="H57">
        <v>1760</v>
      </c>
      <c r="I57">
        <v>1760</v>
      </c>
      <c r="J57">
        <v>1760</v>
      </c>
      <c r="K57">
        <v>1760</v>
      </c>
      <c r="L57">
        <v>1760</v>
      </c>
    </row>
    <row r="58" spans="1:12" x14ac:dyDescent="0.25">
      <c r="A58" s="31"/>
      <c r="B58" s="31" t="s">
        <v>63</v>
      </c>
      <c r="C58">
        <v>8537</v>
      </c>
      <c r="D58">
        <v>10057</v>
      </c>
      <c r="E58">
        <v>10332</v>
      </c>
      <c r="F58">
        <v>11379</v>
      </c>
      <c r="G58">
        <v>12276</v>
      </c>
      <c r="H58">
        <v>13154</v>
      </c>
      <c r="I58">
        <v>14016</v>
      </c>
      <c r="J58">
        <v>14993</v>
      </c>
      <c r="K58">
        <v>15864</v>
      </c>
      <c r="L58">
        <v>16520</v>
      </c>
    </row>
    <row r="59" spans="1:12" x14ac:dyDescent="0.25">
      <c r="A59" s="31"/>
      <c r="B59" s="31" t="s">
        <v>64</v>
      </c>
      <c r="C59">
        <v>41537</v>
      </c>
      <c r="D59">
        <v>49278</v>
      </c>
      <c r="E59">
        <v>53621</v>
      </c>
      <c r="F59">
        <v>58045</v>
      </c>
      <c r="G59">
        <v>61660</v>
      </c>
      <c r="H59">
        <v>63408</v>
      </c>
      <c r="I59">
        <v>65018</v>
      </c>
      <c r="J59">
        <v>65502</v>
      </c>
      <c r="K59">
        <v>60430</v>
      </c>
      <c r="L59">
        <v>63234</v>
      </c>
    </row>
    <row r="60" spans="1:12" x14ac:dyDescent="0.25">
      <c r="A60" s="31"/>
      <c r="B60" s="31" t="s">
        <v>65</v>
      </c>
      <c r="C60">
        <v>-757</v>
      </c>
      <c r="D60">
        <v>-1450</v>
      </c>
      <c r="E60">
        <v>-2774</v>
      </c>
      <c r="F60">
        <v>-3385</v>
      </c>
      <c r="G60">
        <v>-3432</v>
      </c>
      <c r="H60">
        <v>-5777</v>
      </c>
      <c r="I60">
        <v>-10174</v>
      </c>
      <c r="J60">
        <v>-11205</v>
      </c>
      <c r="K60">
        <v>-10305</v>
      </c>
      <c r="L60">
        <v>-12814</v>
      </c>
    </row>
    <row r="61" spans="1:12" x14ac:dyDescent="0.25">
      <c r="A61" s="31"/>
      <c r="B61" s="31" t="s">
        <v>66</v>
      </c>
      <c r="C61">
        <v>-25398</v>
      </c>
      <c r="D61">
        <v>-27762</v>
      </c>
      <c r="E61">
        <v>-31304</v>
      </c>
      <c r="F61">
        <v>-35009</v>
      </c>
      <c r="G61">
        <v>-39091</v>
      </c>
      <c r="H61">
        <v>-42225</v>
      </c>
      <c r="I61">
        <v>-45066</v>
      </c>
      <c r="J61">
        <v>-47988</v>
      </c>
      <c r="K61">
        <v>-50677</v>
      </c>
      <c r="L61">
        <v>-51719</v>
      </c>
    </row>
    <row r="62" spans="1:12" x14ac:dyDescent="0.25">
      <c r="A62" s="31"/>
      <c r="B62" s="31" t="s">
        <v>67</v>
      </c>
      <c r="C62">
        <v>24799</v>
      </c>
      <c r="D62">
        <v>31003</v>
      </c>
      <c r="E62">
        <v>31635</v>
      </c>
      <c r="F62">
        <v>32790</v>
      </c>
      <c r="G62">
        <v>33173</v>
      </c>
      <c r="H62">
        <v>30320</v>
      </c>
      <c r="I62">
        <v>25554</v>
      </c>
      <c r="J62">
        <v>23062</v>
      </c>
      <c r="K62">
        <v>17072</v>
      </c>
      <c r="L62">
        <v>16981</v>
      </c>
    </row>
    <row r="63" spans="1:12" x14ac:dyDescent="0.25">
      <c r="A63" s="31"/>
      <c r="B63" s="31" t="s">
        <v>68</v>
      </c>
      <c r="C63">
        <v>547</v>
      </c>
      <c r="D63">
        <v>314</v>
      </c>
      <c r="E63">
        <v>286</v>
      </c>
      <c r="F63">
        <v>378</v>
      </c>
      <c r="G63">
        <v>267</v>
      </c>
      <c r="H63">
        <v>241</v>
      </c>
      <c r="I63">
        <v>210</v>
      </c>
      <c r="J63">
        <v>158</v>
      </c>
      <c r="K63">
        <v>1905</v>
      </c>
      <c r="L63">
        <v>2077</v>
      </c>
    </row>
    <row r="64" spans="1:12" x14ac:dyDescent="0.25">
      <c r="A64" s="31"/>
      <c r="B64" s="31" t="s">
        <v>69</v>
      </c>
      <c r="C64">
        <v>25346</v>
      </c>
      <c r="D64">
        <v>31317</v>
      </c>
      <c r="E64">
        <v>31921</v>
      </c>
      <c r="F64">
        <v>33168</v>
      </c>
      <c r="G64">
        <v>33440</v>
      </c>
      <c r="H64">
        <v>30561</v>
      </c>
      <c r="I64">
        <v>25764</v>
      </c>
      <c r="J64">
        <v>23220</v>
      </c>
      <c r="K64">
        <v>18977</v>
      </c>
      <c r="L64">
        <v>19058</v>
      </c>
    </row>
    <row r="65" spans="1:12" x14ac:dyDescent="0.25">
      <c r="A65" s="31"/>
      <c r="B65" s="31" t="s">
        <v>70</v>
      </c>
      <c r="C65">
        <v>48671</v>
      </c>
      <c r="D65">
        <v>72921</v>
      </c>
      <c r="E65">
        <v>79974</v>
      </c>
      <c r="F65">
        <v>86174</v>
      </c>
      <c r="G65">
        <v>90055</v>
      </c>
      <c r="H65">
        <v>92023</v>
      </c>
      <c r="I65">
        <v>89996</v>
      </c>
      <c r="J65">
        <v>87270</v>
      </c>
      <c r="K65">
        <v>87896</v>
      </c>
      <c r="L65">
        <v>83216</v>
      </c>
    </row>
    <row r="66" spans="1:12" x14ac:dyDescent="0.25">
      <c r="A66" s="31"/>
      <c r="B66" s="31"/>
    </row>
    <row r="67" spans="1:12" x14ac:dyDescent="0.25">
      <c r="A67" s="31" t="s">
        <v>71</v>
      </c>
      <c r="B67" s="31"/>
    </row>
    <row r="68" spans="1:12" x14ac:dyDescent="0.25">
      <c r="A68" s="31"/>
      <c r="B68" s="31" t="s">
        <v>2</v>
      </c>
      <c r="C68" t="s">
        <v>3</v>
      </c>
      <c r="D68" t="s">
        <v>4</v>
      </c>
      <c r="E68" t="s">
        <v>5</v>
      </c>
      <c r="F68" t="s">
        <v>6</v>
      </c>
      <c r="G68" t="s">
        <v>7</v>
      </c>
      <c r="H68" t="s">
        <v>8</v>
      </c>
      <c r="I68" t="s">
        <v>9</v>
      </c>
      <c r="J68" t="s">
        <v>10</v>
      </c>
      <c r="K68" t="s">
        <v>11</v>
      </c>
      <c r="L68" t="s">
        <v>12</v>
      </c>
    </row>
    <row r="69" spans="1:12" x14ac:dyDescent="0.25">
      <c r="A69" s="31"/>
      <c r="B69" s="31" t="s">
        <v>25</v>
      </c>
      <c r="C69">
        <v>6906</v>
      </c>
      <c r="D69">
        <v>11837</v>
      </c>
      <c r="E69">
        <v>8646</v>
      </c>
      <c r="F69">
        <v>9086</v>
      </c>
      <c r="G69">
        <v>8626</v>
      </c>
      <c r="H69">
        <v>7124</v>
      </c>
      <c r="I69">
        <v>7366</v>
      </c>
      <c r="J69">
        <v>6550</v>
      </c>
      <c r="K69">
        <v>1283</v>
      </c>
      <c r="L69">
        <v>6476</v>
      </c>
    </row>
    <row r="70" spans="1:12" x14ac:dyDescent="0.25">
      <c r="A70" s="31"/>
      <c r="B70" s="31" t="s">
        <v>72</v>
      </c>
      <c r="C70">
        <v>1236</v>
      </c>
      <c r="D70">
        <v>1443</v>
      </c>
      <c r="E70">
        <v>1954</v>
      </c>
      <c r="F70">
        <v>1982</v>
      </c>
      <c r="G70">
        <v>1977</v>
      </c>
      <c r="H70">
        <v>1976</v>
      </c>
      <c r="I70">
        <v>1970</v>
      </c>
      <c r="J70">
        <v>1787</v>
      </c>
      <c r="K70">
        <v>1260</v>
      </c>
      <c r="L70">
        <v>1086</v>
      </c>
    </row>
    <row r="71" spans="1:12" x14ac:dyDescent="0.25">
      <c r="A71" s="31"/>
      <c r="B71" s="31" t="s">
        <v>73</v>
      </c>
      <c r="I71">
        <v>0</v>
      </c>
      <c r="J71">
        <v>0</v>
      </c>
      <c r="K71">
        <v>-101</v>
      </c>
      <c r="L71">
        <v>251</v>
      </c>
    </row>
    <row r="72" spans="1:12" x14ac:dyDescent="0.25">
      <c r="A72" s="31"/>
      <c r="B72" s="31" t="s">
        <v>27</v>
      </c>
      <c r="I72">
        <v>7366</v>
      </c>
      <c r="J72">
        <v>6550</v>
      </c>
      <c r="K72">
        <v>1182</v>
      </c>
      <c r="L72">
        <v>6727</v>
      </c>
    </row>
    <row r="73" spans="1:12" x14ac:dyDescent="0.25">
      <c r="A73" s="31"/>
      <c r="B73" s="31" t="s">
        <v>74</v>
      </c>
      <c r="C73">
        <v>241</v>
      </c>
      <c r="D73">
        <v>380</v>
      </c>
      <c r="E73">
        <v>354</v>
      </c>
      <c r="F73">
        <v>259</v>
      </c>
      <c r="G73">
        <v>227</v>
      </c>
      <c r="H73">
        <v>209</v>
      </c>
      <c r="I73">
        <v>236</v>
      </c>
      <c r="J73">
        <v>258</v>
      </c>
      <c r="K73">
        <v>219</v>
      </c>
      <c r="L73">
        <v>225</v>
      </c>
    </row>
    <row r="74" spans="1:12" x14ac:dyDescent="0.25">
      <c r="A74" s="31"/>
      <c r="B74" s="31" t="s">
        <v>61</v>
      </c>
      <c r="C74">
        <v>353</v>
      </c>
      <c r="D74">
        <v>604</v>
      </c>
      <c r="E74">
        <v>1035</v>
      </c>
      <c r="F74">
        <v>632</v>
      </c>
      <c r="G74">
        <v>648</v>
      </c>
      <c r="H74">
        <v>-40</v>
      </c>
      <c r="I74">
        <v>73</v>
      </c>
      <c r="J74">
        <v>-856</v>
      </c>
      <c r="K74">
        <v>-1256</v>
      </c>
      <c r="L74">
        <v>-450</v>
      </c>
    </row>
    <row r="75" spans="1:12" x14ac:dyDescent="0.25">
      <c r="A75" s="31"/>
      <c r="B75" s="31" t="s">
        <v>75</v>
      </c>
      <c r="C75">
        <v>-359</v>
      </c>
      <c r="D75">
        <v>-671</v>
      </c>
      <c r="E75">
        <v>-269</v>
      </c>
      <c r="F75">
        <v>-426</v>
      </c>
      <c r="G75">
        <v>-201</v>
      </c>
      <c r="H75">
        <v>-371</v>
      </c>
      <c r="I75">
        <v>-122</v>
      </c>
      <c r="J75">
        <v>-449</v>
      </c>
      <c r="K75">
        <v>-628</v>
      </c>
      <c r="L75">
        <v>-457</v>
      </c>
    </row>
    <row r="76" spans="1:12" x14ac:dyDescent="0.25">
      <c r="A76" s="31"/>
      <c r="B76" s="31" t="s">
        <v>76</v>
      </c>
      <c r="C76">
        <v>61</v>
      </c>
      <c r="D76">
        <v>151</v>
      </c>
      <c r="E76">
        <v>7</v>
      </c>
      <c r="F76">
        <v>-130</v>
      </c>
      <c r="G76">
        <v>168</v>
      </c>
      <c r="H76">
        <v>415</v>
      </c>
      <c r="I76">
        <v>-137</v>
      </c>
      <c r="J76">
        <v>158</v>
      </c>
      <c r="K76">
        <v>281</v>
      </c>
      <c r="L76">
        <v>-38</v>
      </c>
    </row>
    <row r="77" spans="1:12" x14ac:dyDescent="0.25">
      <c r="A77" s="31"/>
      <c r="B77" s="31" t="s">
        <v>77</v>
      </c>
      <c r="C77">
        <v>-43</v>
      </c>
      <c r="D77">
        <v>-645</v>
      </c>
      <c r="E77">
        <v>-220</v>
      </c>
      <c r="F77">
        <v>-98</v>
      </c>
      <c r="G77">
        <v>-670</v>
      </c>
      <c r="H77">
        <v>831</v>
      </c>
      <c r="I77">
        <v>-374</v>
      </c>
      <c r="J77">
        <v>1146</v>
      </c>
      <c r="K77">
        <v>1459</v>
      </c>
      <c r="L77">
        <v>189</v>
      </c>
    </row>
    <row r="78" spans="1:12" x14ac:dyDescent="0.25">
      <c r="A78" s="31"/>
      <c r="B78" s="31" t="s">
        <v>78</v>
      </c>
      <c r="C78">
        <v>0</v>
      </c>
      <c r="D78">
        <v>-4713</v>
      </c>
    </row>
    <row r="79" spans="1:12" x14ac:dyDescent="0.25">
      <c r="A79" s="31"/>
      <c r="B79" s="31" t="s">
        <v>17</v>
      </c>
      <c r="C79">
        <v>134</v>
      </c>
      <c r="D79">
        <v>264</v>
      </c>
      <c r="E79">
        <v>214</v>
      </c>
      <c r="F79">
        <v>166</v>
      </c>
      <c r="G79">
        <v>465</v>
      </c>
      <c r="H79">
        <v>761</v>
      </c>
      <c r="I79">
        <v>929</v>
      </c>
      <c r="J79">
        <v>647</v>
      </c>
      <c r="K79">
        <v>1218</v>
      </c>
      <c r="L79">
        <v>558</v>
      </c>
    </row>
    <row r="80" spans="1:12" x14ac:dyDescent="0.25">
      <c r="A80" s="31"/>
      <c r="B80" s="31" t="s">
        <v>79</v>
      </c>
      <c r="C80">
        <v>221</v>
      </c>
      <c r="D80">
        <v>512</v>
      </c>
      <c r="E80">
        <v>-354</v>
      </c>
      <c r="F80">
        <v>254</v>
      </c>
      <c r="G80">
        <v>234</v>
      </c>
      <c r="H80">
        <v>149</v>
      </c>
      <c r="I80">
        <v>744</v>
      </c>
      <c r="J80">
        <v>-224</v>
      </c>
      <c r="K80">
        <v>-269</v>
      </c>
      <c r="L80">
        <v>682</v>
      </c>
    </row>
    <row r="81" spans="1:12" x14ac:dyDescent="0.25">
      <c r="A81" s="31"/>
      <c r="B81" s="31" t="s">
        <v>80</v>
      </c>
      <c r="C81">
        <v>-564</v>
      </c>
      <c r="D81">
        <v>370</v>
      </c>
      <c r="E81">
        <v>-1893</v>
      </c>
      <c r="F81">
        <v>-1080</v>
      </c>
      <c r="G81">
        <v>-932</v>
      </c>
      <c r="H81">
        <v>-439</v>
      </c>
      <c r="I81">
        <v>-157</v>
      </c>
      <c r="J81">
        <v>-221</v>
      </c>
      <c r="K81">
        <v>3464</v>
      </c>
      <c r="L81">
        <v>-1202</v>
      </c>
    </row>
    <row r="82" spans="1:12" x14ac:dyDescent="0.25">
      <c r="A82" s="31"/>
      <c r="B82" s="31" t="s">
        <v>81</v>
      </c>
      <c r="C82">
        <v>8186</v>
      </c>
      <c r="D82">
        <v>9532</v>
      </c>
      <c r="E82">
        <v>9474</v>
      </c>
      <c r="F82">
        <v>10645</v>
      </c>
      <c r="G82">
        <v>10542</v>
      </c>
      <c r="H82">
        <v>10615</v>
      </c>
      <c r="I82">
        <v>10528</v>
      </c>
      <c r="J82">
        <v>8796</v>
      </c>
      <c r="K82">
        <v>6930</v>
      </c>
      <c r="L82">
        <v>7320</v>
      </c>
    </row>
    <row r="83" spans="1:12" x14ac:dyDescent="0.25">
      <c r="A83" s="31"/>
      <c r="B83" s="31" t="s">
        <v>82</v>
      </c>
      <c r="C83">
        <v>-2130</v>
      </c>
      <c r="D83">
        <v>-4579</v>
      </c>
    </row>
    <row r="84" spans="1:12" x14ac:dyDescent="0.25">
      <c r="A84" s="31"/>
      <c r="B84" s="31" t="s">
        <v>83</v>
      </c>
      <c r="C84">
        <v>-22</v>
      </c>
      <c r="D84">
        <v>-132</v>
      </c>
      <c r="E84">
        <v>-4798</v>
      </c>
      <c r="F84">
        <v>-14824</v>
      </c>
      <c r="G84">
        <v>-14782</v>
      </c>
      <c r="H84">
        <v>-17800</v>
      </c>
      <c r="I84">
        <v>-15831</v>
      </c>
      <c r="J84">
        <v>-15499</v>
      </c>
      <c r="K84">
        <v>-17296</v>
      </c>
      <c r="L84">
        <v>-7789</v>
      </c>
    </row>
    <row r="85" spans="1:12" x14ac:dyDescent="0.25">
      <c r="A85" s="31"/>
      <c r="B85" s="31" t="s">
        <v>84</v>
      </c>
      <c r="C85">
        <v>0</v>
      </c>
      <c r="D85">
        <v>4032</v>
      </c>
      <c r="E85">
        <v>5811</v>
      </c>
      <c r="F85">
        <v>7791</v>
      </c>
      <c r="G85">
        <v>12791</v>
      </c>
      <c r="H85">
        <v>12986</v>
      </c>
      <c r="I85">
        <v>14079</v>
      </c>
      <c r="J85">
        <v>16624</v>
      </c>
      <c r="K85">
        <v>16694</v>
      </c>
      <c r="L85">
        <v>14977</v>
      </c>
    </row>
    <row r="86" spans="1:12" x14ac:dyDescent="0.25">
      <c r="A86" s="31"/>
      <c r="B86" s="31" t="s">
        <v>85</v>
      </c>
      <c r="C86">
        <v>-300</v>
      </c>
      <c r="D86">
        <v>-2511</v>
      </c>
      <c r="E86">
        <v>-971</v>
      </c>
      <c r="F86">
        <v>-1486</v>
      </c>
      <c r="G86">
        <v>-353</v>
      </c>
      <c r="H86">
        <v>-389</v>
      </c>
      <c r="I86">
        <v>-2491</v>
      </c>
      <c r="J86">
        <v>-838</v>
      </c>
      <c r="K86">
        <v>-3809</v>
      </c>
      <c r="L86">
        <v>-1040</v>
      </c>
    </row>
    <row r="87" spans="1:12" x14ac:dyDescent="0.25">
      <c r="A87" s="31"/>
      <c r="B87" s="31" t="s">
        <v>86</v>
      </c>
      <c r="C87">
        <v>240</v>
      </c>
      <c r="D87">
        <v>972</v>
      </c>
      <c r="E87">
        <v>398</v>
      </c>
      <c r="F87">
        <v>20</v>
      </c>
      <c r="G87">
        <v>872</v>
      </c>
      <c r="H87">
        <v>148</v>
      </c>
      <c r="I87">
        <v>565</v>
      </c>
      <c r="J87">
        <v>1035</v>
      </c>
      <c r="K87">
        <v>3821</v>
      </c>
      <c r="L87">
        <v>1362</v>
      </c>
    </row>
    <row r="88" spans="1:12" x14ac:dyDescent="0.25">
      <c r="A88" s="31"/>
      <c r="B88" s="31" t="s">
        <v>87</v>
      </c>
      <c r="C88">
        <v>-1993</v>
      </c>
      <c r="D88">
        <v>-2215</v>
      </c>
      <c r="E88">
        <v>-2920</v>
      </c>
      <c r="F88">
        <v>-2780</v>
      </c>
      <c r="G88">
        <v>-2550</v>
      </c>
      <c r="H88">
        <v>-2406</v>
      </c>
      <c r="I88">
        <v>-2553</v>
      </c>
      <c r="J88">
        <v>-2262</v>
      </c>
      <c r="K88">
        <v>-1675</v>
      </c>
      <c r="L88">
        <v>-1347</v>
      </c>
    </row>
    <row r="89" spans="1:12" x14ac:dyDescent="0.25">
      <c r="A89" s="31"/>
      <c r="B89" s="31" t="s">
        <v>88</v>
      </c>
      <c r="C89">
        <v>104</v>
      </c>
      <c r="D89">
        <v>134</v>
      </c>
      <c r="E89">
        <v>101</v>
      </c>
      <c r="F89">
        <v>143</v>
      </c>
      <c r="G89">
        <v>111</v>
      </c>
      <c r="H89">
        <v>223</v>
      </c>
      <c r="I89">
        <v>85</v>
      </c>
      <c r="J89">
        <v>150</v>
      </c>
      <c r="K89">
        <v>104</v>
      </c>
      <c r="L89">
        <v>245</v>
      </c>
    </row>
    <row r="90" spans="1:12" x14ac:dyDescent="0.25">
      <c r="A90" s="31"/>
      <c r="B90" s="31" t="s">
        <v>89</v>
      </c>
      <c r="C90">
        <v>-48</v>
      </c>
      <c r="D90">
        <v>-106</v>
      </c>
      <c r="E90">
        <v>-145</v>
      </c>
      <c r="F90">
        <v>-268</v>
      </c>
      <c r="G90">
        <v>-303</v>
      </c>
      <c r="H90">
        <v>-268</v>
      </c>
      <c r="I90">
        <v>-40</v>
      </c>
      <c r="J90">
        <v>-209</v>
      </c>
      <c r="K90">
        <v>-93</v>
      </c>
      <c r="L90">
        <v>-60</v>
      </c>
    </row>
    <row r="91" spans="1:12" x14ac:dyDescent="0.25">
      <c r="A91" s="31"/>
      <c r="B91" s="31" t="s">
        <v>90</v>
      </c>
      <c r="C91">
        <v>-4149</v>
      </c>
      <c r="D91">
        <v>-4405</v>
      </c>
      <c r="E91">
        <v>-2524</v>
      </c>
      <c r="F91">
        <v>-11404</v>
      </c>
      <c r="G91">
        <v>-4214</v>
      </c>
      <c r="H91">
        <v>-7506</v>
      </c>
      <c r="I91">
        <v>-6186</v>
      </c>
      <c r="J91">
        <v>-999</v>
      </c>
      <c r="K91">
        <v>-2254</v>
      </c>
      <c r="L91">
        <v>6348</v>
      </c>
    </row>
    <row r="92" spans="1:12" x14ac:dyDescent="0.25">
      <c r="A92" s="31"/>
      <c r="B92" s="31" t="s">
        <v>91</v>
      </c>
      <c r="C92">
        <v>14689</v>
      </c>
      <c r="D92">
        <v>15251</v>
      </c>
      <c r="E92">
        <v>27495</v>
      </c>
      <c r="F92">
        <v>42791</v>
      </c>
      <c r="G92">
        <v>43425</v>
      </c>
      <c r="H92">
        <v>41674</v>
      </c>
      <c r="I92">
        <v>40434</v>
      </c>
      <c r="J92">
        <v>27281</v>
      </c>
      <c r="K92">
        <v>29857</v>
      </c>
      <c r="L92">
        <v>27339</v>
      </c>
    </row>
    <row r="93" spans="1:12" x14ac:dyDescent="0.25">
      <c r="A93" s="31"/>
      <c r="B93" s="31" t="s">
        <v>92</v>
      </c>
      <c r="C93">
        <v>-12326</v>
      </c>
      <c r="D93">
        <v>-13403</v>
      </c>
      <c r="E93">
        <v>-22530</v>
      </c>
      <c r="F93">
        <v>-38573</v>
      </c>
      <c r="G93">
        <v>-38714</v>
      </c>
      <c r="H93">
        <v>-36962</v>
      </c>
      <c r="I93">
        <v>-37738</v>
      </c>
      <c r="J93">
        <v>-25615</v>
      </c>
      <c r="K93">
        <v>-28768</v>
      </c>
      <c r="L93">
        <v>-30568</v>
      </c>
    </row>
    <row r="94" spans="1:12" x14ac:dyDescent="0.25">
      <c r="A94" s="31"/>
      <c r="B94" s="31" t="s">
        <v>93</v>
      </c>
      <c r="C94">
        <v>664</v>
      </c>
      <c r="D94">
        <v>1666</v>
      </c>
      <c r="E94">
        <v>1569</v>
      </c>
      <c r="F94">
        <v>1489</v>
      </c>
      <c r="G94">
        <v>1328</v>
      </c>
      <c r="H94">
        <v>1532</v>
      </c>
      <c r="I94">
        <v>1245</v>
      </c>
      <c r="J94">
        <v>1434</v>
      </c>
      <c r="K94">
        <v>1595</v>
      </c>
      <c r="L94">
        <v>1476</v>
      </c>
    </row>
    <row r="95" spans="1:12" x14ac:dyDescent="0.25">
      <c r="A95" s="31"/>
      <c r="B95" s="31" t="s">
        <v>94</v>
      </c>
      <c r="C95">
        <v>-1518</v>
      </c>
      <c r="D95">
        <v>-2961</v>
      </c>
      <c r="E95">
        <v>-4513</v>
      </c>
      <c r="F95">
        <v>-4559</v>
      </c>
      <c r="G95">
        <v>-4832</v>
      </c>
      <c r="H95">
        <v>-4162</v>
      </c>
      <c r="I95">
        <v>-3564</v>
      </c>
      <c r="J95">
        <v>-3681</v>
      </c>
      <c r="K95">
        <v>-3682</v>
      </c>
      <c r="L95">
        <v>-1912</v>
      </c>
    </row>
    <row r="96" spans="1:12" x14ac:dyDescent="0.25">
      <c r="A96" s="31"/>
      <c r="B96" s="31" t="s">
        <v>95</v>
      </c>
      <c r="C96">
        <v>-3800</v>
      </c>
      <c r="D96">
        <v>-4068</v>
      </c>
      <c r="E96">
        <v>-4300</v>
      </c>
      <c r="F96">
        <v>-4595</v>
      </c>
      <c r="G96">
        <v>-4969</v>
      </c>
      <c r="H96">
        <v>-5350</v>
      </c>
      <c r="I96">
        <v>-5741</v>
      </c>
      <c r="J96">
        <v>-6043</v>
      </c>
      <c r="K96">
        <v>-6320</v>
      </c>
      <c r="L96">
        <v>-6644</v>
      </c>
    </row>
    <row r="97" spans="1:12" x14ac:dyDescent="0.25">
      <c r="A97" s="31"/>
      <c r="B97" s="31" t="s">
        <v>96</v>
      </c>
      <c r="C97">
        <v>-2</v>
      </c>
      <c r="D97">
        <v>50</v>
      </c>
      <c r="E97">
        <v>45</v>
      </c>
      <c r="F97">
        <v>100</v>
      </c>
      <c r="G97">
        <v>17</v>
      </c>
      <c r="H97">
        <v>-363</v>
      </c>
      <c r="I97">
        <v>251</v>
      </c>
      <c r="J97">
        <v>79</v>
      </c>
      <c r="K97">
        <v>-91</v>
      </c>
      <c r="L97">
        <v>-243</v>
      </c>
    </row>
    <row r="98" spans="1:12" x14ac:dyDescent="0.25">
      <c r="A98" s="31"/>
      <c r="B98" s="31" t="s">
        <v>97</v>
      </c>
      <c r="C98">
        <v>-2293</v>
      </c>
      <c r="D98">
        <v>-3465</v>
      </c>
      <c r="E98">
        <v>-2234</v>
      </c>
      <c r="F98">
        <v>-3347</v>
      </c>
      <c r="G98">
        <v>-3745</v>
      </c>
      <c r="H98">
        <v>-3631</v>
      </c>
      <c r="I98">
        <v>-5113</v>
      </c>
      <c r="J98">
        <v>-6545</v>
      </c>
      <c r="K98">
        <v>-7409</v>
      </c>
      <c r="L98">
        <v>-10552</v>
      </c>
    </row>
    <row r="99" spans="1:12" x14ac:dyDescent="0.25">
      <c r="A99" s="31"/>
      <c r="B99" s="31" t="s">
        <v>98</v>
      </c>
      <c r="I99">
        <v>0</v>
      </c>
      <c r="J99">
        <v>0</v>
      </c>
      <c r="K99">
        <v>111</v>
      </c>
      <c r="L99">
        <v>307</v>
      </c>
    </row>
    <row r="100" spans="1:12" x14ac:dyDescent="0.25">
      <c r="A100" s="31"/>
      <c r="B100" s="31" t="s">
        <v>99</v>
      </c>
      <c r="C100">
        <v>576</v>
      </c>
      <c r="D100">
        <v>-166</v>
      </c>
      <c r="E100">
        <v>-430</v>
      </c>
      <c r="F100">
        <v>-255</v>
      </c>
      <c r="G100">
        <v>-611</v>
      </c>
      <c r="H100">
        <v>-934</v>
      </c>
      <c r="I100">
        <v>-878</v>
      </c>
      <c r="J100">
        <v>-6</v>
      </c>
      <c r="K100">
        <v>241</v>
      </c>
      <c r="L100">
        <v>-262</v>
      </c>
    </row>
    <row r="101" spans="1:12" x14ac:dyDescent="0.25">
      <c r="A101" s="31"/>
      <c r="B101" s="31" t="s">
        <v>100</v>
      </c>
      <c r="I101">
        <v>0</v>
      </c>
      <c r="J101">
        <v>0</v>
      </c>
      <c r="K101">
        <v>-58</v>
      </c>
      <c r="L101">
        <v>-421</v>
      </c>
    </row>
    <row r="102" spans="1:12" x14ac:dyDescent="0.25">
      <c r="A102" s="31"/>
      <c r="B102" s="31" t="s">
        <v>101</v>
      </c>
      <c r="I102">
        <v>0</v>
      </c>
      <c r="J102">
        <v>0</v>
      </c>
      <c r="K102">
        <v>-38</v>
      </c>
      <c r="L102">
        <v>205</v>
      </c>
    </row>
    <row r="103" spans="1:12" x14ac:dyDescent="0.25">
      <c r="A103" s="31"/>
      <c r="B103" s="31" t="s">
        <v>102</v>
      </c>
      <c r="I103">
        <v>0</v>
      </c>
      <c r="J103">
        <v>0</v>
      </c>
      <c r="K103">
        <v>15</v>
      </c>
      <c r="L103">
        <v>91</v>
      </c>
    </row>
    <row r="104" spans="1:12" x14ac:dyDescent="0.25">
      <c r="A104" s="31"/>
      <c r="B104" s="31" t="s">
        <v>103</v>
      </c>
      <c r="C104">
        <v>2320</v>
      </c>
      <c r="D104">
        <v>1496</v>
      </c>
      <c r="E104">
        <v>4286</v>
      </c>
      <c r="F104">
        <v>-4361</v>
      </c>
      <c r="G104">
        <v>1972</v>
      </c>
      <c r="H104">
        <v>-1456</v>
      </c>
      <c r="I104">
        <v>-1649</v>
      </c>
      <c r="J104">
        <v>1246</v>
      </c>
      <c r="K104">
        <v>-2477</v>
      </c>
      <c r="L104">
        <v>2945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ECF20-AA2D-4E4A-8D52-503F03B45737}">
  <dimension ref="A2:L35"/>
  <sheetViews>
    <sheetView showGridLines="0" tabSelected="1" workbookViewId="0">
      <selection activeCell="A12" sqref="A12"/>
    </sheetView>
  </sheetViews>
  <sheetFormatPr defaultRowHeight="15" x14ac:dyDescent="0.25"/>
  <cols>
    <col min="1" max="1" width="104.42578125" bestFit="1" customWidth="1"/>
    <col min="2" max="11" width="6.5703125" bestFit="1" customWidth="1"/>
  </cols>
  <sheetData>
    <row r="2" spans="1:12" x14ac:dyDescent="0.25">
      <c r="A2" s="9" t="s">
        <v>118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2" s="6" customFormat="1" x14ac:dyDescent="0.25">
      <c r="A3" s="8"/>
    </row>
    <row r="4" spans="1:12" s="7" customFormat="1" x14ac:dyDescent="0.25">
      <c r="A4" s="16" t="s">
        <v>119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6" t="s">
        <v>12</v>
      </c>
    </row>
    <row r="5" spans="1:12" s="18" customFormat="1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</row>
    <row r="6" spans="1:12" x14ac:dyDescent="0.25">
      <c r="A6" s="13" t="s">
        <v>13</v>
      </c>
      <c r="B6" s="14">
        <v>30990</v>
      </c>
      <c r="C6" s="14">
        <v>35119</v>
      </c>
      <c r="D6" s="14">
        <v>46542</v>
      </c>
      <c r="E6" s="14">
        <v>48017</v>
      </c>
      <c r="F6" s="14">
        <v>46854</v>
      </c>
      <c r="G6" s="14">
        <v>45998</v>
      </c>
      <c r="H6" s="14">
        <v>44294</v>
      </c>
      <c r="I6" s="14">
        <v>41863</v>
      </c>
      <c r="J6" s="14">
        <v>35410</v>
      </c>
      <c r="K6" s="14">
        <v>31856</v>
      </c>
      <c r="L6" s="7"/>
    </row>
    <row r="7" spans="1:12" x14ac:dyDescent="0.25">
      <c r="A7" s="13" t="s">
        <v>14</v>
      </c>
      <c r="B7" s="14">
        <v>11088</v>
      </c>
      <c r="C7" s="14">
        <v>12693</v>
      </c>
      <c r="D7" s="14">
        <v>18215</v>
      </c>
      <c r="E7" s="14">
        <v>19053</v>
      </c>
      <c r="F7" s="14">
        <v>18421</v>
      </c>
      <c r="G7" s="14">
        <v>17889</v>
      </c>
      <c r="H7" s="14">
        <v>17482</v>
      </c>
      <c r="I7" s="14">
        <v>16465</v>
      </c>
      <c r="J7" s="14">
        <v>13255</v>
      </c>
      <c r="K7" s="14">
        <v>11770</v>
      </c>
      <c r="L7" s="7"/>
    </row>
    <row r="8" spans="1:12" x14ac:dyDescent="0.25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7"/>
    </row>
    <row r="9" spans="1:12" ht="15.75" thickBot="1" x14ac:dyDescent="0.3">
      <c r="A9" s="27" t="s">
        <v>15</v>
      </c>
      <c r="B9" s="28">
        <f>B6-B7</f>
        <v>19902</v>
      </c>
      <c r="C9" s="28">
        <f t="shared" ref="C9:K9" si="0">C6-C7</f>
        <v>22426</v>
      </c>
      <c r="D9" s="28">
        <f t="shared" si="0"/>
        <v>28327</v>
      </c>
      <c r="E9" s="28">
        <f t="shared" si="0"/>
        <v>28964</v>
      </c>
      <c r="F9" s="28">
        <f t="shared" si="0"/>
        <v>28433</v>
      </c>
      <c r="G9" s="28">
        <f t="shared" si="0"/>
        <v>28109</v>
      </c>
      <c r="H9" s="28">
        <f t="shared" si="0"/>
        <v>26812</v>
      </c>
      <c r="I9" s="28">
        <f t="shared" si="0"/>
        <v>25398</v>
      </c>
      <c r="J9" s="28">
        <f t="shared" si="0"/>
        <v>22155</v>
      </c>
      <c r="K9" s="28">
        <f t="shared" si="0"/>
        <v>20086</v>
      </c>
      <c r="L9" s="7"/>
    </row>
    <row r="10" spans="1:12" x14ac:dyDescent="0.25">
      <c r="A10" s="12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7"/>
    </row>
    <row r="11" spans="1:12" x14ac:dyDescent="0.25">
      <c r="A11" s="13" t="s">
        <v>16</v>
      </c>
      <c r="B11" s="14">
        <v>11358</v>
      </c>
      <c r="C11" s="14">
        <v>13194</v>
      </c>
      <c r="D11" s="14">
        <v>17422</v>
      </c>
      <c r="E11" s="14">
        <v>17738</v>
      </c>
      <c r="F11" s="14">
        <v>17310</v>
      </c>
      <c r="G11" s="14">
        <v>17218</v>
      </c>
      <c r="H11" s="14">
        <v>16427</v>
      </c>
      <c r="I11" s="14">
        <v>15262</v>
      </c>
      <c r="J11" s="14">
        <v>12654</v>
      </c>
      <c r="K11" s="14">
        <v>10307</v>
      </c>
      <c r="L11" s="7"/>
    </row>
    <row r="12" spans="1:12" x14ac:dyDescent="0.25">
      <c r="A12" s="13" t="s">
        <v>17</v>
      </c>
      <c r="B12" s="14">
        <v>313</v>
      </c>
      <c r="C12" s="14">
        <v>819</v>
      </c>
      <c r="D12" s="14">
        <v>732</v>
      </c>
      <c r="E12" s="14">
        <v>447</v>
      </c>
      <c r="F12" s="14">
        <v>895</v>
      </c>
      <c r="G12" s="14">
        <v>1183</v>
      </c>
      <c r="H12" s="14">
        <v>1657</v>
      </c>
      <c r="I12" s="14">
        <v>1510</v>
      </c>
      <c r="J12" s="14">
        <v>1902</v>
      </c>
      <c r="K12" s="14">
        <v>1079</v>
      </c>
      <c r="L12" s="7"/>
    </row>
    <row r="13" spans="1:12" x14ac:dyDescent="0.25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7"/>
    </row>
    <row r="14" spans="1:12" ht="15.75" thickBot="1" x14ac:dyDescent="0.3">
      <c r="A14" s="27" t="s">
        <v>18</v>
      </c>
      <c r="B14" s="28">
        <f>B9-B11-B12</f>
        <v>8231</v>
      </c>
      <c r="C14" s="28">
        <f t="shared" ref="C14:K14" si="1">C9-C11-C12</f>
        <v>8413</v>
      </c>
      <c r="D14" s="28">
        <f t="shared" si="1"/>
        <v>10173</v>
      </c>
      <c r="E14" s="28">
        <f t="shared" si="1"/>
        <v>10779</v>
      </c>
      <c r="F14" s="28">
        <f t="shared" si="1"/>
        <v>10228</v>
      </c>
      <c r="G14" s="28">
        <f t="shared" si="1"/>
        <v>9708</v>
      </c>
      <c r="H14" s="28">
        <f t="shared" si="1"/>
        <v>8728</v>
      </c>
      <c r="I14" s="28">
        <f t="shared" si="1"/>
        <v>8626</v>
      </c>
      <c r="J14" s="28">
        <f t="shared" si="1"/>
        <v>7599</v>
      </c>
      <c r="K14" s="28">
        <f t="shared" si="1"/>
        <v>8700</v>
      </c>
      <c r="L14" s="7"/>
    </row>
    <row r="15" spans="1:12" x14ac:dyDescent="0.25">
      <c r="A15" s="1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7"/>
    </row>
    <row r="16" spans="1:12" x14ac:dyDescent="0.25">
      <c r="A16" s="13" t="s">
        <v>19</v>
      </c>
      <c r="B16" s="14">
        <v>249</v>
      </c>
      <c r="C16" s="14">
        <v>317</v>
      </c>
      <c r="D16" s="14">
        <v>483</v>
      </c>
      <c r="E16" s="14">
        <v>471</v>
      </c>
      <c r="F16" s="14">
        <v>534</v>
      </c>
      <c r="G16" s="14">
        <v>594</v>
      </c>
      <c r="H16" s="14">
        <v>613</v>
      </c>
      <c r="I16" s="14">
        <v>642</v>
      </c>
      <c r="J16" s="14">
        <v>677</v>
      </c>
      <c r="K16" s="14">
        <v>682</v>
      </c>
      <c r="L16" s="7"/>
    </row>
    <row r="17" spans="1:12" x14ac:dyDescent="0.25">
      <c r="A17" s="13" t="s">
        <v>20</v>
      </c>
      <c r="B17" s="14">
        <v>355</v>
      </c>
      <c r="C17" s="14">
        <v>733</v>
      </c>
      <c r="D17" s="14">
        <v>417</v>
      </c>
      <c r="E17" s="14">
        <v>397</v>
      </c>
      <c r="F17" s="14">
        <v>463</v>
      </c>
      <c r="G17" s="14">
        <v>483</v>
      </c>
      <c r="H17" s="14">
        <v>856</v>
      </c>
      <c r="I17" s="14">
        <v>733</v>
      </c>
      <c r="J17" s="14">
        <v>841</v>
      </c>
      <c r="K17" s="14">
        <v>919</v>
      </c>
      <c r="L17" s="7"/>
    </row>
    <row r="18" spans="1:12" x14ac:dyDescent="0.25">
      <c r="A18" s="13" t="s">
        <v>21</v>
      </c>
      <c r="B18" s="14">
        <v>781</v>
      </c>
      <c r="C18" s="14">
        <v>1025</v>
      </c>
      <c r="D18" s="14">
        <v>690</v>
      </c>
      <c r="E18" s="14">
        <v>819</v>
      </c>
      <c r="F18" s="14">
        <v>602</v>
      </c>
      <c r="G18" s="14">
        <v>769</v>
      </c>
      <c r="H18" s="14">
        <v>489</v>
      </c>
      <c r="I18" s="14">
        <v>835</v>
      </c>
      <c r="J18" s="14">
        <v>1071</v>
      </c>
      <c r="K18" s="14">
        <v>1008</v>
      </c>
      <c r="L18" s="7"/>
    </row>
    <row r="19" spans="1:12" x14ac:dyDescent="0.25">
      <c r="A19" s="13" t="s">
        <v>22</v>
      </c>
      <c r="B19" s="14">
        <v>40</v>
      </c>
      <c r="C19" s="14">
        <v>5185</v>
      </c>
      <c r="D19" s="14">
        <v>529</v>
      </c>
      <c r="E19" s="14">
        <v>137</v>
      </c>
      <c r="F19" s="14">
        <v>576</v>
      </c>
      <c r="G19" s="14">
        <v>-1263</v>
      </c>
      <c r="H19" s="14">
        <v>631</v>
      </c>
      <c r="I19" s="14">
        <v>-1234</v>
      </c>
      <c r="J19" s="14">
        <v>-1764</v>
      </c>
      <c r="K19" s="14">
        <v>-1121</v>
      </c>
      <c r="L19" s="7"/>
    </row>
    <row r="20" spans="1:12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7"/>
    </row>
    <row r="21" spans="1:12" ht="15.75" thickBot="1" x14ac:dyDescent="0.3">
      <c r="A21" s="27" t="s">
        <v>23</v>
      </c>
      <c r="B21" s="28">
        <f>SUM(B14:B16)-B17+SUM(B18:B19)</f>
        <v>8946</v>
      </c>
      <c r="C21" s="28">
        <f t="shared" ref="C21:K21" si="2">SUM(C14:C16)-C17+SUM(C18:C19)</f>
        <v>14207</v>
      </c>
      <c r="D21" s="28">
        <f t="shared" si="2"/>
        <v>11458</v>
      </c>
      <c r="E21" s="28">
        <f t="shared" si="2"/>
        <v>11809</v>
      </c>
      <c r="F21" s="28">
        <f t="shared" si="2"/>
        <v>11477</v>
      </c>
      <c r="G21" s="28">
        <f t="shared" si="2"/>
        <v>9325</v>
      </c>
      <c r="H21" s="28">
        <f t="shared" si="2"/>
        <v>9605</v>
      </c>
      <c r="I21" s="28">
        <f t="shared" si="2"/>
        <v>8136</v>
      </c>
      <c r="J21" s="28">
        <f t="shared" si="2"/>
        <v>6742</v>
      </c>
      <c r="K21" s="28">
        <f t="shared" si="2"/>
        <v>8350</v>
      </c>
      <c r="L21" s="7"/>
    </row>
    <row r="22" spans="1:12" x14ac:dyDescent="0.25">
      <c r="A22" s="12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7"/>
    </row>
    <row r="23" spans="1:12" x14ac:dyDescent="0.25">
      <c r="A23" s="13" t="s">
        <v>24</v>
      </c>
      <c r="B23" s="14">
        <v>2040</v>
      </c>
      <c r="C23" s="14">
        <v>2370</v>
      </c>
      <c r="D23" s="14">
        <v>2812</v>
      </c>
      <c r="E23" s="14">
        <v>2723</v>
      </c>
      <c r="F23" s="14">
        <v>2851</v>
      </c>
      <c r="G23" s="14">
        <v>2201</v>
      </c>
      <c r="H23" s="14">
        <v>2239</v>
      </c>
      <c r="I23" s="14">
        <v>1586</v>
      </c>
      <c r="J23" s="14">
        <v>5560</v>
      </c>
      <c r="K23" s="14">
        <v>1623</v>
      </c>
      <c r="L23" s="7"/>
    </row>
    <row r="24" spans="1:12" x14ac:dyDescent="0.25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7"/>
    </row>
    <row r="25" spans="1:12" ht="15.75" thickBot="1" x14ac:dyDescent="0.3">
      <c r="A25" s="27" t="s">
        <v>25</v>
      </c>
      <c r="B25" s="28">
        <f>B21-B23</f>
        <v>6906</v>
      </c>
      <c r="C25" s="28">
        <f t="shared" ref="C25:K25" si="3">C21-C23</f>
        <v>11837</v>
      </c>
      <c r="D25" s="28">
        <f t="shared" si="3"/>
        <v>8646</v>
      </c>
      <c r="E25" s="28">
        <f t="shared" si="3"/>
        <v>9086</v>
      </c>
      <c r="F25" s="28">
        <f t="shared" si="3"/>
        <v>8626</v>
      </c>
      <c r="G25" s="28">
        <f t="shared" si="3"/>
        <v>7124</v>
      </c>
      <c r="H25" s="28">
        <f t="shared" si="3"/>
        <v>7366</v>
      </c>
      <c r="I25" s="28">
        <f t="shared" si="3"/>
        <v>6550</v>
      </c>
      <c r="J25" s="28">
        <f t="shared" si="3"/>
        <v>1182</v>
      </c>
      <c r="K25" s="28">
        <f t="shared" si="3"/>
        <v>6727</v>
      </c>
      <c r="L25" s="7"/>
    </row>
    <row r="26" spans="1:12" x14ac:dyDescent="0.25">
      <c r="A26" s="12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7"/>
    </row>
    <row r="27" spans="1:12" x14ac:dyDescent="0.25">
      <c r="A27" s="13" t="s">
        <v>26</v>
      </c>
      <c r="B27" s="14">
        <v>82</v>
      </c>
      <c r="C27" s="14">
        <v>50</v>
      </c>
      <c r="D27" s="14">
        <v>62</v>
      </c>
      <c r="E27" s="14">
        <v>67</v>
      </c>
      <c r="F27" s="14">
        <v>42</v>
      </c>
      <c r="G27" s="14">
        <v>26</v>
      </c>
      <c r="H27" s="14">
        <v>15</v>
      </c>
      <c r="I27" s="14">
        <v>23</v>
      </c>
      <c r="J27" s="14">
        <v>35</v>
      </c>
      <c r="K27" s="14">
        <v>42</v>
      </c>
      <c r="L27" s="7"/>
    </row>
    <row r="28" spans="1:12" x14ac:dyDescent="0.25">
      <c r="A28" s="13" t="s">
        <v>27</v>
      </c>
      <c r="B28" s="7"/>
      <c r="C28" s="7"/>
      <c r="D28" s="7"/>
      <c r="E28" s="7"/>
      <c r="F28" s="7"/>
      <c r="G28" s="7"/>
      <c r="H28" s="14">
        <v>7366</v>
      </c>
      <c r="I28" s="14">
        <v>6550</v>
      </c>
      <c r="J28" s="14">
        <v>1182</v>
      </c>
      <c r="K28" s="14">
        <v>6727</v>
      </c>
      <c r="L28" s="7"/>
    </row>
    <row r="29" spans="1:12" x14ac:dyDescent="0.25">
      <c r="A29" s="13" t="s">
        <v>28</v>
      </c>
      <c r="B29" s="7"/>
      <c r="C29" s="7"/>
      <c r="D29" s="7"/>
      <c r="E29" s="7"/>
      <c r="F29" s="7"/>
      <c r="G29" s="7"/>
      <c r="H29" s="14">
        <v>0</v>
      </c>
      <c r="I29" s="14">
        <v>0</v>
      </c>
      <c r="J29" s="14">
        <v>101</v>
      </c>
      <c r="K29" s="14">
        <v>-251</v>
      </c>
      <c r="L29" s="7"/>
    </row>
    <row r="30" spans="1:12" x14ac:dyDescent="0.25">
      <c r="A30" s="13"/>
      <c r="B30" s="7"/>
      <c r="C30" s="7"/>
      <c r="D30" s="7"/>
      <c r="E30" s="7"/>
      <c r="F30" s="7"/>
      <c r="G30" s="7"/>
      <c r="H30" s="14"/>
      <c r="I30" s="14"/>
      <c r="J30" s="14"/>
      <c r="K30" s="14"/>
      <c r="L30" s="7"/>
    </row>
    <row r="31" spans="1:12" s="7" customFormat="1" ht="15.75" thickBot="1" x14ac:dyDescent="0.3">
      <c r="A31" s="27" t="s">
        <v>29</v>
      </c>
      <c r="B31" s="28">
        <f>B25-B27+B29</f>
        <v>6824</v>
      </c>
      <c r="C31" s="28">
        <f t="shared" ref="C31:K31" si="4">C25-C27+C29</f>
        <v>11787</v>
      </c>
      <c r="D31" s="28">
        <f t="shared" si="4"/>
        <v>8584</v>
      </c>
      <c r="E31" s="28">
        <f t="shared" si="4"/>
        <v>9019</v>
      </c>
      <c r="F31" s="28">
        <f t="shared" si="4"/>
        <v>8584</v>
      </c>
      <c r="G31" s="28">
        <f t="shared" si="4"/>
        <v>7098</v>
      </c>
      <c r="H31" s="28">
        <f t="shared" si="4"/>
        <v>7351</v>
      </c>
      <c r="I31" s="28">
        <f t="shared" si="4"/>
        <v>6527</v>
      </c>
      <c r="J31" s="28">
        <f t="shared" si="4"/>
        <v>1248</v>
      </c>
      <c r="K31" s="28">
        <f t="shared" si="4"/>
        <v>6434</v>
      </c>
    </row>
    <row r="32" spans="1:12" x14ac:dyDescent="0.25">
      <c r="L32" s="7"/>
    </row>
    <row r="33" spans="12:12" x14ac:dyDescent="0.25">
      <c r="L33" s="7"/>
    </row>
    <row r="34" spans="12:12" x14ac:dyDescent="0.25">
      <c r="L34" s="7"/>
    </row>
    <row r="35" spans="12:12" x14ac:dyDescent="0.25">
      <c r="L35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12924-BE55-4024-AAA9-A7F8CCD24CCB}">
  <dimension ref="A1:L61"/>
  <sheetViews>
    <sheetView showGridLines="0" topLeftCell="B18" zoomScaleNormal="100" workbookViewId="0">
      <selection activeCell="Q39" sqref="Q39"/>
    </sheetView>
  </sheetViews>
  <sheetFormatPr defaultRowHeight="15" x14ac:dyDescent="0.25"/>
  <cols>
    <col min="1" max="1" width="67.140625" bestFit="1" customWidth="1"/>
    <col min="2" max="2" width="7.28515625" bestFit="1" customWidth="1"/>
    <col min="3" max="11" width="7.5703125" bestFit="1" customWidth="1"/>
  </cols>
  <sheetData>
    <row r="1" spans="1:12" x14ac:dyDescent="0.25">
      <c r="L1" s="7"/>
    </row>
    <row r="2" spans="1:12" s="6" customFormat="1" x14ac:dyDescent="0.25">
      <c r="A2" s="9" t="s">
        <v>117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8"/>
    </row>
    <row r="3" spans="1:12" x14ac:dyDescent="0.25">
      <c r="L3" s="7"/>
    </row>
    <row r="4" spans="1:12" x14ac:dyDescent="0.25">
      <c r="A4" s="16" t="s">
        <v>119</v>
      </c>
      <c r="B4" s="29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8</v>
      </c>
      <c r="H4" s="29" t="s">
        <v>9</v>
      </c>
      <c r="I4" s="29" t="s">
        <v>10</v>
      </c>
      <c r="J4" s="29" t="s">
        <v>11</v>
      </c>
      <c r="K4" s="29" t="s">
        <v>12</v>
      </c>
    </row>
    <row r="5" spans="1:12" x14ac:dyDescent="0.25">
      <c r="A5" s="20" t="s">
        <v>31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x14ac:dyDescent="0.25">
      <c r="A6" s="13" t="s">
        <v>32</v>
      </c>
      <c r="B6" s="14">
        <v>7021</v>
      </c>
      <c r="C6" s="14">
        <v>8517</v>
      </c>
      <c r="D6" s="14">
        <v>12803</v>
      </c>
      <c r="E6" s="14">
        <v>8442</v>
      </c>
      <c r="F6" s="14">
        <v>10414</v>
      </c>
      <c r="G6" s="14">
        <v>8958</v>
      </c>
      <c r="H6" s="14">
        <v>7309</v>
      </c>
      <c r="I6" s="14">
        <v>8555</v>
      </c>
      <c r="J6" s="14">
        <v>6006</v>
      </c>
      <c r="K6" s="14">
        <v>8926</v>
      </c>
      <c r="L6" s="7"/>
    </row>
    <row r="7" spans="1:12" x14ac:dyDescent="0.25">
      <c r="A7" s="13" t="s">
        <v>33</v>
      </c>
      <c r="B7" s="14">
        <v>2130</v>
      </c>
      <c r="C7" s="14">
        <v>2682</v>
      </c>
      <c r="D7" s="14">
        <v>1088</v>
      </c>
      <c r="E7" s="14">
        <v>5017</v>
      </c>
      <c r="F7" s="14">
        <v>6707</v>
      </c>
      <c r="G7" s="14">
        <v>9052</v>
      </c>
      <c r="H7" s="14">
        <v>8322</v>
      </c>
      <c r="I7" s="14">
        <v>9595</v>
      </c>
      <c r="J7" s="14">
        <v>9352</v>
      </c>
      <c r="K7" s="14">
        <v>2025</v>
      </c>
      <c r="L7" s="7"/>
    </row>
    <row r="8" spans="1:12" x14ac:dyDescent="0.25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7"/>
    </row>
    <row r="9" spans="1:12" ht="15.75" thickBot="1" x14ac:dyDescent="0.3">
      <c r="A9" s="27" t="s">
        <v>34</v>
      </c>
      <c r="B9" s="28">
        <f>B6+B7</f>
        <v>9151</v>
      </c>
      <c r="C9" s="28">
        <f t="shared" ref="C9:K9" si="0">C6+C7</f>
        <v>11199</v>
      </c>
      <c r="D9" s="28">
        <f t="shared" si="0"/>
        <v>13891</v>
      </c>
      <c r="E9" s="28">
        <f t="shared" si="0"/>
        <v>13459</v>
      </c>
      <c r="F9" s="28">
        <f t="shared" si="0"/>
        <v>17121</v>
      </c>
      <c r="G9" s="28">
        <f t="shared" si="0"/>
        <v>18010</v>
      </c>
      <c r="H9" s="28">
        <f t="shared" si="0"/>
        <v>15631</v>
      </c>
      <c r="I9" s="28">
        <f t="shared" si="0"/>
        <v>18150</v>
      </c>
      <c r="J9" s="28">
        <f t="shared" si="0"/>
        <v>15358</v>
      </c>
      <c r="K9" s="28">
        <f t="shared" si="0"/>
        <v>10951</v>
      </c>
      <c r="L9" s="7"/>
    </row>
    <row r="10" spans="1:12" x14ac:dyDescent="0.25">
      <c r="A10" s="12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7"/>
    </row>
    <row r="11" spans="1:12" x14ac:dyDescent="0.25">
      <c r="A11" s="13" t="s">
        <v>35</v>
      </c>
      <c r="B11" s="14">
        <v>62</v>
      </c>
      <c r="C11" s="14">
        <v>138</v>
      </c>
      <c r="D11" s="14">
        <v>144</v>
      </c>
      <c r="E11" s="14">
        <v>3092</v>
      </c>
      <c r="F11" s="14">
        <v>3147</v>
      </c>
      <c r="G11" s="14">
        <v>3665</v>
      </c>
      <c r="H11" s="14">
        <v>4269</v>
      </c>
      <c r="I11" s="14">
        <v>4051</v>
      </c>
      <c r="J11" s="14">
        <v>5317</v>
      </c>
      <c r="K11" s="14">
        <v>5013</v>
      </c>
      <c r="L11" s="7"/>
    </row>
    <row r="12" spans="1:12" x14ac:dyDescent="0.25">
      <c r="A12" s="13" t="s">
        <v>36</v>
      </c>
      <c r="B12" s="14">
        <v>3758</v>
      </c>
      <c r="C12" s="14">
        <v>4430</v>
      </c>
      <c r="D12" s="14">
        <v>4920</v>
      </c>
      <c r="E12" s="14">
        <v>4759</v>
      </c>
      <c r="F12" s="14">
        <v>4873</v>
      </c>
      <c r="G12" s="14">
        <v>4466</v>
      </c>
      <c r="H12" s="14">
        <v>3941</v>
      </c>
      <c r="I12" s="14">
        <v>3856</v>
      </c>
      <c r="J12" s="14">
        <v>3667</v>
      </c>
      <c r="K12" s="14">
        <v>3396</v>
      </c>
      <c r="L12" s="7"/>
    </row>
    <row r="13" spans="1:12" x14ac:dyDescent="0.25">
      <c r="A13" s="13" t="s">
        <v>37</v>
      </c>
      <c r="B13" s="14">
        <v>2354</v>
      </c>
      <c r="C13" s="14">
        <v>2650</v>
      </c>
      <c r="D13" s="14">
        <v>3092</v>
      </c>
      <c r="E13" s="14">
        <v>3264</v>
      </c>
      <c r="F13" s="14">
        <v>3277</v>
      </c>
      <c r="G13" s="14">
        <v>3100</v>
      </c>
      <c r="H13" s="14">
        <v>2902</v>
      </c>
      <c r="I13" s="14">
        <v>2675</v>
      </c>
      <c r="J13" s="14">
        <v>2655</v>
      </c>
      <c r="K13" s="14">
        <v>2766</v>
      </c>
      <c r="L13" s="7"/>
    </row>
    <row r="14" spans="1:12" x14ac:dyDescent="0.25">
      <c r="A14" s="13" t="s">
        <v>38</v>
      </c>
      <c r="B14" s="14">
        <v>2226</v>
      </c>
      <c r="C14" s="14">
        <v>3162</v>
      </c>
      <c r="D14" s="14">
        <v>3450</v>
      </c>
      <c r="E14" s="14">
        <v>2781</v>
      </c>
      <c r="F14" s="14">
        <v>2886</v>
      </c>
      <c r="G14" s="14">
        <v>3066</v>
      </c>
      <c r="H14" s="14">
        <v>2752</v>
      </c>
      <c r="I14" s="14">
        <v>2481</v>
      </c>
      <c r="J14" s="14">
        <v>2000</v>
      </c>
      <c r="K14" s="14">
        <v>1962</v>
      </c>
      <c r="L14" s="7"/>
    </row>
    <row r="15" spans="1:12" x14ac:dyDescent="0.25">
      <c r="A15" s="13" t="s">
        <v>39</v>
      </c>
      <c r="B15" s="7"/>
      <c r="C15" s="7"/>
      <c r="D15" s="14">
        <v>0</v>
      </c>
      <c r="E15" s="14">
        <v>2973</v>
      </c>
      <c r="F15" s="14">
        <v>0</v>
      </c>
      <c r="G15" s="14">
        <v>679</v>
      </c>
      <c r="H15" s="14">
        <v>3900</v>
      </c>
      <c r="I15" s="14">
        <v>0</v>
      </c>
      <c r="J15" s="14">
        <v>7329</v>
      </c>
      <c r="K15" s="14">
        <v>6546</v>
      </c>
      <c r="L15" s="7"/>
    </row>
    <row r="16" spans="1:12" x14ac:dyDescent="0.25">
      <c r="A16" s="13" t="s">
        <v>39</v>
      </c>
      <c r="B16" s="7"/>
      <c r="C16" s="7"/>
      <c r="D16" s="7"/>
      <c r="E16" s="7"/>
      <c r="F16" s="7"/>
      <c r="G16" s="7"/>
      <c r="H16" s="7"/>
      <c r="I16" s="14">
        <v>2797</v>
      </c>
      <c r="J16" s="14">
        <v>219</v>
      </c>
      <c r="K16" s="14">
        <v>0</v>
      </c>
      <c r="L16" s="7"/>
    </row>
    <row r="17" spans="1:12" x14ac:dyDescent="0.25">
      <c r="A17" s="13"/>
      <c r="B17" s="7"/>
      <c r="C17" s="7"/>
      <c r="D17" s="7"/>
      <c r="E17" s="7"/>
      <c r="F17" s="7"/>
      <c r="G17" s="7"/>
      <c r="H17" s="7"/>
      <c r="I17" s="14"/>
      <c r="J17" s="14"/>
      <c r="K17" s="14"/>
      <c r="L17" s="7"/>
    </row>
    <row r="18" spans="1:12" ht="15.75" thickBot="1" x14ac:dyDescent="0.3">
      <c r="A18" s="27" t="s">
        <v>40</v>
      </c>
      <c r="B18" s="28">
        <f>SUM(B9:B14)</f>
        <v>17551</v>
      </c>
      <c r="C18" s="28">
        <f t="shared" ref="C18:K18" si="1">SUM(C9:C14)</f>
        <v>21579</v>
      </c>
      <c r="D18" s="28">
        <f t="shared" si="1"/>
        <v>25497</v>
      </c>
      <c r="E18" s="28">
        <f t="shared" si="1"/>
        <v>27355</v>
      </c>
      <c r="F18" s="28">
        <f t="shared" si="1"/>
        <v>31304</v>
      </c>
      <c r="G18" s="28">
        <f t="shared" si="1"/>
        <v>32307</v>
      </c>
      <c r="H18" s="28">
        <f t="shared" si="1"/>
        <v>29495</v>
      </c>
      <c r="I18" s="28">
        <f t="shared" si="1"/>
        <v>31213</v>
      </c>
      <c r="J18" s="28">
        <f t="shared" si="1"/>
        <v>28997</v>
      </c>
      <c r="K18" s="28">
        <f t="shared" si="1"/>
        <v>24088</v>
      </c>
      <c r="L18" s="7"/>
    </row>
    <row r="19" spans="1:12" x14ac:dyDescent="0.25">
      <c r="A19" s="12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7"/>
    </row>
    <row r="20" spans="1:12" x14ac:dyDescent="0.25">
      <c r="A20" s="13" t="s">
        <v>41</v>
      </c>
      <c r="B20" s="14">
        <v>6217</v>
      </c>
      <c r="C20" s="14">
        <v>6954</v>
      </c>
      <c r="D20" s="14">
        <v>7233</v>
      </c>
      <c r="E20" s="14">
        <v>9216</v>
      </c>
      <c r="F20" s="14">
        <v>10393</v>
      </c>
      <c r="G20" s="14">
        <v>9947</v>
      </c>
      <c r="H20" s="14">
        <v>12318</v>
      </c>
      <c r="I20" s="14">
        <v>16260</v>
      </c>
      <c r="J20" s="14">
        <v>20856</v>
      </c>
      <c r="K20" s="14">
        <v>19407</v>
      </c>
      <c r="L20" s="7"/>
    </row>
    <row r="21" spans="1:12" x14ac:dyDescent="0.25">
      <c r="A21" s="13" t="s">
        <v>42</v>
      </c>
      <c r="B21" s="14">
        <v>538</v>
      </c>
      <c r="C21" s="14">
        <v>631</v>
      </c>
      <c r="D21" s="14">
        <v>1141</v>
      </c>
      <c r="E21" s="14">
        <v>1232</v>
      </c>
      <c r="F21" s="14">
        <v>1119</v>
      </c>
      <c r="G21" s="14">
        <v>3678</v>
      </c>
      <c r="H21" s="14">
        <v>3470</v>
      </c>
      <c r="I21" s="14">
        <v>989</v>
      </c>
      <c r="J21" s="14">
        <v>1096</v>
      </c>
      <c r="K21" s="14">
        <v>867</v>
      </c>
      <c r="L21" s="7"/>
    </row>
    <row r="22" spans="1:12" x14ac:dyDescent="0.25">
      <c r="A22" s="13" t="s">
        <v>43</v>
      </c>
      <c r="B22" s="14">
        <v>1976</v>
      </c>
      <c r="C22" s="14">
        <v>2121</v>
      </c>
      <c r="D22" s="14">
        <v>3495</v>
      </c>
      <c r="E22" s="14">
        <v>3585</v>
      </c>
      <c r="F22" s="14">
        <v>4661</v>
      </c>
      <c r="G22" s="14">
        <v>4407</v>
      </c>
      <c r="H22" s="14">
        <v>4110</v>
      </c>
      <c r="I22" s="14">
        <v>4248</v>
      </c>
      <c r="J22" s="14">
        <v>4230</v>
      </c>
      <c r="K22" s="14">
        <v>4139</v>
      </c>
      <c r="L22" s="7"/>
    </row>
    <row r="23" spans="1:12" x14ac:dyDescent="0.25">
      <c r="A23" s="13" t="s">
        <v>44</v>
      </c>
      <c r="B23" s="14">
        <v>9561</v>
      </c>
      <c r="C23" s="14">
        <v>14727</v>
      </c>
      <c r="D23" s="14">
        <v>14939</v>
      </c>
      <c r="E23" s="14">
        <v>14476</v>
      </c>
      <c r="F23" s="14">
        <v>14967</v>
      </c>
      <c r="G23" s="14">
        <v>14633</v>
      </c>
      <c r="H23" s="14">
        <v>12571</v>
      </c>
      <c r="I23" s="14">
        <v>10635</v>
      </c>
      <c r="J23" s="14">
        <v>8203</v>
      </c>
      <c r="K23" s="14">
        <v>8232</v>
      </c>
      <c r="L23" s="7"/>
    </row>
    <row r="24" spans="1:12" x14ac:dyDescent="0.25">
      <c r="A24" s="13" t="s">
        <v>45</v>
      </c>
      <c r="B24" s="7"/>
      <c r="C24" s="7"/>
      <c r="D24" s="7"/>
      <c r="E24" s="7"/>
      <c r="F24" s="7"/>
      <c r="G24" s="7"/>
      <c r="H24" s="7"/>
      <c r="I24" s="7"/>
      <c r="J24" s="14">
        <v>330</v>
      </c>
      <c r="K24" s="14">
        <v>2667</v>
      </c>
      <c r="L24" s="7"/>
    </row>
    <row r="25" spans="1:12" x14ac:dyDescent="0.25">
      <c r="A25" s="13" t="s">
        <v>46</v>
      </c>
      <c r="B25" s="14">
        <v>6183</v>
      </c>
      <c r="C25" s="14">
        <v>6356</v>
      </c>
      <c r="D25" s="14">
        <v>6430</v>
      </c>
      <c r="E25" s="14">
        <v>6527</v>
      </c>
      <c r="F25" s="14">
        <v>6744</v>
      </c>
      <c r="G25" s="14">
        <v>6533</v>
      </c>
      <c r="H25" s="14">
        <v>5989</v>
      </c>
      <c r="I25" s="14">
        <v>6097</v>
      </c>
      <c r="J25" s="14">
        <v>6729</v>
      </c>
      <c r="K25" s="14">
        <v>6682</v>
      </c>
      <c r="L25" s="7"/>
    </row>
    <row r="26" spans="1:12" x14ac:dyDescent="0.25">
      <c r="A26" s="13" t="s">
        <v>47</v>
      </c>
      <c r="B26" s="14">
        <v>1953</v>
      </c>
      <c r="C26" s="14">
        <v>7511</v>
      </c>
      <c r="D26" s="14">
        <v>7770</v>
      </c>
      <c r="E26" s="14">
        <v>7405</v>
      </c>
      <c r="F26" s="14">
        <v>7415</v>
      </c>
      <c r="G26" s="14">
        <v>6689</v>
      </c>
      <c r="H26" s="14">
        <v>6000</v>
      </c>
      <c r="I26" s="14">
        <v>3676</v>
      </c>
      <c r="J26" s="14">
        <v>138</v>
      </c>
      <c r="K26" s="14">
        <v>51</v>
      </c>
      <c r="L26" s="7"/>
    </row>
    <row r="27" spans="1:12" x14ac:dyDescent="0.25">
      <c r="A27" s="13" t="s">
        <v>48</v>
      </c>
      <c r="B27" s="14">
        <v>4224</v>
      </c>
      <c r="C27" s="14">
        <v>11665</v>
      </c>
      <c r="D27" s="14">
        <v>12219</v>
      </c>
      <c r="E27" s="14">
        <v>12255</v>
      </c>
      <c r="F27" s="14">
        <v>12312</v>
      </c>
      <c r="G27" s="14">
        <v>12100</v>
      </c>
      <c r="H27" s="14">
        <v>11289</v>
      </c>
      <c r="I27" s="14">
        <v>10629</v>
      </c>
      <c r="J27" s="14">
        <v>9401</v>
      </c>
      <c r="K27" s="14">
        <v>10263</v>
      </c>
      <c r="L27" s="7"/>
    </row>
    <row r="28" spans="1:12" x14ac:dyDescent="0.25">
      <c r="A28" s="13" t="s">
        <v>49</v>
      </c>
      <c r="B28" s="14">
        <v>468</v>
      </c>
      <c r="C28" s="14">
        <v>1377</v>
      </c>
      <c r="D28" s="14">
        <v>1250</v>
      </c>
      <c r="E28" s="14">
        <v>1150</v>
      </c>
      <c r="F28" s="14">
        <v>1140</v>
      </c>
      <c r="G28" s="14">
        <v>1050</v>
      </c>
      <c r="H28" s="14">
        <v>854</v>
      </c>
      <c r="I28" s="14">
        <v>726</v>
      </c>
      <c r="J28" s="14">
        <v>368</v>
      </c>
      <c r="K28" s="14">
        <v>274</v>
      </c>
      <c r="L28" s="7"/>
    </row>
    <row r="29" spans="1:12" x14ac:dyDescent="0.25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7"/>
    </row>
    <row r="30" spans="1:12" ht="15.75" thickBot="1" x14ac:dyDescent="0.3">
      <c r="A30" s="27" t="s">
        <v>50</v>
      </c>
      <c r="B30" s="28">
        <f>SUM(A18:B28)</f>
        <v>48671</v>
      </c>
      <c r="C30" s="28">
        <f t="shared" ref="C30:K30" si="2">SUM(B18:C28)</f>
        <v>121592</v>
      </c>
      <c r="D30" s="28">
        <f t="shared" si="2"/>
        <v>152895</v>
      </c>
      <c r="E30" s="28">
        <f t="shared" si="2"/>
        <v>163175</v>
      </c>
      <c r="F30" s="28">
        <f t="shared" si="2"/>
        <v>173256</v>
      </c>
      <c r="G30" s="28">
        <f t="shared" si="2"/>
        <v>181399</v>
      </c>
      <c r="H30" s="28">
        <f t="shared" si="2"/>
        <v>177440</v>
      </c>
      <c r="I30" s="28">
        <f t="shared" si="2"/>
        <v>170569</v>
      </c>
      <c r="J30" s="28">
        <f t="shared" si="2"/>
        <v>164821</v>
      </c>
      <c r="K30" s="28">
        <f t="shared" si="2"/>
        <v>157018</v>
      </c>
      <c r="L30" s="7"/>
    </row>
    <row r="31" spans="1:12" x14ac:dyDescent="0.25">
      <c r="A31" s="12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7"/>
    </row>
    <row r="32" spans="1:12" x14ac:dyDescent="0.25">
      <c r="A32" s="21" t="s">
        <v>51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5">
      <c r="A33" s="21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5">
      <c r="A34" s="13" t="s">
        <v>52</v>
      </c>
      <c r="B34" s="14">
        <v>6657</v>
      </c>
      <c r="C34" s="14">
        <v>8859</v>
      </c>
      <c r="D34" s="14">
        <v>9009</v>
      </c>
      <c r="E34" s="14">
        <v>8680</v>
      </c>
      <c r="F34" s="14">
        <v>9577</v>
      </c>
      <c r="G34" s="14">
        <v>9234</v>
      </c>
      <c r="H34" s="14">
        <v>9660</v>
      </c>
      <c r="I34" s="14">
        <v>9490</v>
      </c>
      <c r="J34" s="14">
        <v>8748</v>
      </c>
      <c r="K34" s="14">
        <v>8932</v>
      </c>
      <c r="L34" s="7"/>
    </row>
    <row r="35" spans="1:12" x14ac:dyDescent="0.25">
      <c r="A35" s="13" t="s">
        <v>53</v>
      </c>
      <c r="B35" s="14">
        <v>6749</v>
      </c>
      <c r="C35" s="14">
        <v>8100</v>
      </c>
      <c r="D35" s="14">
        <v>12871</v>
      </c>
      <c r="E35" s="14">
        <v>16297</v>
      </c>
      <c r="F35" s="14">
        <v>16901</v>
      </c>
      <c r="G35" s="14">
        <v>19130</v>
      </c>
      <c r="H35" s="14">
        <v>13129</v>
      </c>
      <c r="I35" s="14">
        <v>12498</v>
      </c>
      <c r="J35" s="14">
        <v>13205</v>
      </c>
      <c r="K35" s="14">
        <v>13194</v>
      </c>
      <c r="L35" s="7"/>
    </row>
    <row r="36" spans="1:12" x14ac:dyDescent="0.25">
      <c r="A36" s="13" t="s">
        <v>54</v>
      </c>
      <c r="B36" s="14">
        <v>51</v>
      </c>
      <c r="C36" s="14">
        <v>1276</v>
      </c>
      <c r="D36" s="14">
        <v>2041</v>
      </c>
      <c r="E36" s="14">
        <v>1577</v>
      </c>
      <c r="F36" s="14">
        <v>1024</v>
      </c>
      <c r="G36" s="14">
        <v>3552</v>
      </c>
      <c r="H36" s="14">
        <v>2676</v>
      </c>
      <c r="I36" s="14">
        <v>3527</v>
      </c>
      <c r="J36" s="14">
        <v>3298</v>
      </c>
      <c r="K36" s="14">
        <v>4997</v>
      </c>
      <c r="L36" s="7"/>
    </row>
    <row r="37" spans="1:12" x14ac:dyDescent="0.25">
      <c r="A37" s="13" t="s">
        <v>55</v>
      </c>
      <c r="B37" s="14">
        <v>264</v>
      </c>
      <c r="C37" s="14">
        <v>273</v>
      </c>
      <c r="D37" s="14">
        <v>362</v>
      </c>
      <c r="E37" s="14">
        <v>471</v>
      </c>
      <c r="F37" s="14">
        <v>309</v>
      </c>
      <c r="G37" s="14">
        <v>400</v>
      </c>
      <c r="H37" s="14">
        <v>331</v>
      </c>
      <c r="I37" s="14">
        <v>307</v>
      </c>
      <c r="J37" s="14">
        <v>410</v>
      </c>
      <c r="K37" s="14">
        <v>378</v>
      </c>
      <c r="L37" s="7"/>
    </row>
    <row r="38" spans="1:12" x14ac:dyDescent="0.25">
      <c r="A38" s="13" t="s">
        <v>56</v>
      </c>
      <c r="B38" s="7"/>
      <c r="C38" s="7"/>
      <c r="D38" s="14">
        <v>0</v>
      </c>
      <c r="E38" s="14">
        <v>796</v>
      </c>
      <c r="F38" s="14">
        <v>0</v>
      </c>
      <c r="G38" s="14">
        <v>58</v>
      </c>
      <c r="H38" s="14">
        <v>1133</v>
      </c>
      <c r="I38" s="14">
        <v>710</v>
      </c>
      <c r="J38" s="14">
        <v>37</v>
      </c>
      <c r="K38" s="14">
        <v>0</v>
      </c>
      <c r="L38" s="7"/>
    </row>
    <row r="39" spans="1:12" x14ac:dyDescent="0.25">
      <c r="A39" s="13" t="s">
        <v>57</v>
      </c>
      <c r="B39" s="7"/>
      <c r="C39" s="7"/>
      <c r="D39" s="7"/>
      <c r="E39" s="7"/>
      <c r="F39" s="7"/>
      <c r="G39" s="7"/>
      <c r="H39" s="7"/>
      <c r="I39" s="14">
        <v>0</v>
      </c>
      <c r="J39" s="14">
        <v>1496</v>
      </c>
      <c r="K39" s="14">
        <v>1722</v>
      </c>
      <c r="L39" s="7"/>
    </row>
    <row r="40" spans="1:12" x14ac:dyDescent="0.25">
      <c r="A40" s="13"/>
      <c r="B40" s="7"/>
      <c r="C40" s="7"/>
      <c r="D40" s="7"/>
      <c r="E40" s="7"/>
      <c r="F40" s="7"/>
      <c r="G40" s="7"/>
      <c r="H40" s="7"/>
      <c r="I40" s="14"/>
      <c r="J40" s="14"/>
      <c r="K40" s="14"/>
      <c r="L40" s="7"/>
    </row>
    <row r="41" spans="1:12" ht="15.75" thickBot="1" x14ac:dyDescent="0.3">
      <c r="A41" s="27" t="s">
        <v>58</v>
      </c>
      <c r="B41" s="28">
        <f>SUM(B34:B39)</f>
        <v>13721</v>
      </c>
      <c r="C41" s="28">
        <f t="shared" ref="C41:K41" si="3">SUM(C34:C39)</f>
        <v>18508</v>
      </c>
      <c r="D41" s="28">
        <f t="shared" si="3"/>
        <v>24283</v>
      </c>
      <c r="E41" s="28">
        <f t="shared" si="3"/>
        <v>27821</v>
      </c>
      <c r="F41" s="28">
        <f t="shared" si="3"/>
        <v>27811</v>
      </c>
      <c r="G41" s="28">
        <f t="shared" si="3"/>
        <v>32374</v>
      </c>
      <c r="H41" s="28">
        <f t="shared" si="3"/>
        <v>26929</v>
      </c>
      <c r="I41" s="28">
        <f t="shared" si="3"/>
        <v>26532</v>
      </c>
      <c r="J41" s="28">
        <f t="shared" si="3"/>
        <v>27194</v>
      </c>
      <c r="K41" s="28">
        <f t="shared" si="3"/>
        <v>29223</v>
      </c>
      <c r="L41" s="7"/>
    </row>
    <row r="42" spans="1:12" x14ac:dyDescent="0.25">
      <c r="A42" s="12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7"/>
    </row>
    <row r="43" spans="1:12" x14ac:dyDescent="0.25">
      <c r="A43" s="13" t="s">
        <v>59</v>
      </c>
      <c r="B43" s="14">
        <v>5059</v>
      </c>
      <c r="C43" s="14">
        <v>14041</v>
      </c>
      <c r="D43" s="14">
        <v>13656</v>
      </c>
      <c r="E43" s="14">
        <v>14736</v>
      </c>
      <c r="F43" s="14">
        <v>19154</v>
      </c>
      <c r="G43" s="14">
        <v>19063</v>
      </c>
      <c r="H43" s="14">
        <v>28311</v>
      </c>
      <c r="I43" s="14">
        <v>29684</v>
      </c>
      <c r="J43" s="14">
        <v>31182</v>
      </c>
      <c r="K43" s="14">
        <v>25364</v>
      </c>
      <c r="L43" s="7"/>
    </row>
    <row r="44" spans="1:12" x14ac:dyDescent="0.25">
      <c r="A44" s="13" t="s">
        <v>60</v>
      </c>
      <c r="B44" s="14">
        <v>2965</v>
      </c>
      <c r="C44" s="14">
        <v>4794</v>
      </c>
      <c r="D44" s="14">
        <v>5420</v>
      </c>
      <c r="E44" s="14">
        <v>5468</v>
      </c>
      <c r="F44" s="14">
        <v>3498</v>
      </c>
      <c r="G44" s="14">
        <v>4389</v>
      </c>
      <c r="H44" s="14">
        <v>4301</v>
      </c>
      <c r="I44" s="14">
        <v>4081</v>
      </c>
      <c r="J44" s="14">
        <v>8021</v>
      </c>
      <c r="K44" s="14">
        <v>7638</v>
      </c>
      <c r="L44" s="7"/>
    </row>
    <row r="45" spans="1:12" x14ac:dyDescent="0.25">
      <c r="A45" s="13" t="s">
        <v>61</v>
      </c>
      <c r="B45" s="14">
        <v>1580</v>
      </c>
      <c r="C45" s="14">
        <v>4261</v>
      </c>
      <c r="D45" s="14">
        <v>4694</v>
      </c>
      <c r="E45" s="14">
        <v>4981</v>
      </c>
      <c r="F45" s="14">
        <v>6152</v>
      </c>
      <c r="G45" s="14">
        <v>5636</v>
      </c>
      <c r="H45" s="14">
        <v>4691</v>
      </c>
      <c r="I45" s="14">
        <v>3753</v>
      </c>
      <c r="J45" s="14">
        <v>2522</v>
      </c>
      <c r="K45" s="14">
        <v>1933</v>
      </c>
      <c r="L45" s="7"/>
    </row>
    <row r="46" spans="1:12" x14ac:dyDescent="0.25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7"/>
    </row>
    <row r="47" spans="1:12" ht="15.75" thickBot="1" x14ac:dyDescent="0.3">
      <c r="A47" s="27" t="s">
        <v>114</v>
      </c>
      <c r="B47" s="28">
        <f>SUM(B41:B45)</f>
        <v>23325</v>
      </c>
      <c r="C47" s="28">
        <f t="shared" ref="C47:K47" si="4">SUM(C41:C45)</f>
        <v>41604</v>
      </c>
      <c r="D47" s="28">
        <f t="shared" si="4"/>
        <v>48053</v>
      </c>
      <c r="E47" s="28">
        <f t="shared" si="4"/>
        <v>53006</v>
      </c>
      <c r="F47" s="28">
        <f t="shared" si="4"/>
        <v>56615</v>
      </c>
      <c r="G47" s="28">
        <f t="shared" si="4"/>
        <v>61462</v>
      </c>
      <c r="H47" s="28">
        <f t="shared" si="4"/>
        <v>64232</v>
      </c>
      <c r="I47" s="28">
        <f t="shared" si="4"/>
        <v>64050</v>
      </c>
      <c r="J47" s="28">
        <f t="shared" si="4"/>
        <v>68919</v>
      </c>
      <c r="K47" s="28">
        <f t="shared" si="4"/>
        <v>64158</v>
      </c>
      <c r="L47" s="7"/>
    </row>
    <row r="48" spans="1:12" x14ac:dyDescent="0.25">
      <c r="A48" s="12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7"/>
    </row>
    <row r="49" spans="1:12" x14ac:dyDescent="0.25">
      <c r="A49" s="15" t="s">
        <v>62</v>
      </c>
      <c r="B49" s="14">
        <v>880</v>
      </c>
      <c r="C49" s="14">
        <v>880</v>
      </c>
      <c r="D49" s="14">
        <v>1760</v>
      </c>
      <c r="E49" s="14">
        <v>1760</v>
      </c>
      <c r="F49" s="14">
        <v>1760</v>
      </c>
      <c r="G49" s="14">
        <v>1760</v>
      </c>
      <c r="H49" s="14">
        <v>1760</v>
      </c>
      <c r="I49" s="14">
        <v>1760</v>
      </c>
      <c r="J49" s="14">
        <v>1760</v>
      </c>
      <c r="K49" s="14">
        <v>1760</v>
      </c>
      <c r="L49" s="7"/>
    </row>
    <row r="50" spans="1:12" x14ac:dyDescent="0.25">
      <c r="A50" s="13" t="s">
        <v>63</v>
      </c>
      <c r="B50" s="14">
        <v>8537</v>
      </c>
      <c r="C50" s="14">
        <v>10057</v>
      </c>
      <c r="D50" s="14">
        <v>10332</v>
      </c>
      <c r="E50" s="14">
        <v>11379</v>
      </c>
      <c r="F50" s="14">
        <v>12276</v>
      </c>
      <c r="G50" s="14">
        <v>13154</v>
      </c>
      <c r="H50" s="14">
        <v>14016</v>
      </c>
      <c r="I50" s="14">
        <v>14993</v>
      </c>
      <c r="J50" s="14">
        <v>15864</v>
      </c>
      <c r="K50" s="14">
        <v>16520</v>
      </c>
      <c r="L50" s="7"/>
    </row>
    <row r="51" spans="1:12" x14ac:dyDescent="0.25">
      <c r="A51" s="13" t="s">
        <v>64</v>
      </c>
      <c r="B51" s="14">
        <v>41537</v>
      </c>
      <c r="C51" s="14">
        <v>49278</v>
      </c>
      <c r="D51" s="14">
        <v>53621</v>
      </c>
      <c r="E51" s="14">
        <v>58045</v>
      </c>
      <c r="F51" s="14">
        <v>61660</v>
      </c>
      <c r="G51" s="14">
        <v>63408</v>
      </c>
      <c r="H51" s="14">
        <v>65018</v>
      </c>
      <c r="I51" s="14">
        <v>65502</v>
      </c>
      <c r="J51" s="14">
        <v>60430</v>
      </c>
      <c r="K51" s="14">
        <v>63234</v>
      </c>
      <c r="L51" s="7"/>
    </row>
    <row r="52" spans="1:12" x14ac:dyDescent="0.25">
      <c r="A52" s="13" t="s">
        <v>65</v>
      </c>
      <c r="B52" s="14">
        <v>-757</v>
      </c>
      <c r="C52" s="14">
        <v>-1450</v>
      </c>
      <c r="D52" s="14">
        <v>-2774</v>
      </c>
      <c r="E52" s="14">
        <v>-3385</v>
      </c>
      <c r="F52" s="14">
        <v>-3432</v>
      </c>
      <c r="G52" s="14">
        <v>-5777</v>
      </c>
      <c r="H52" s="14">
        <v>-10174</v>
      </c>
      <c r="I52" s="14">
        <v>-11205</v>
      </c>
      <c r="J52" s="14">
        <v>-10305</v>
      </c>
      <c r="K52" s="14">
        <v>-12814</v>
      </c>
      <c r="L52" s="7"/>
    </row>
    <row r="53" spans="1:12" x14ac:dyDescent="0.25">
      <c r="A53" s="13" t="s">
        <v>66</v>
      </c>
      <c r="B53" s="14">
        <v>-25398</v>
      </c>
      <c r="C53" s="14">
        <v>-27762</v>
      </c>
      <c r="D53" s="14">
        <v>-31304</v>
      </c>
      <c r="E53" s="14">
        <v>-35009</v>
      </c>
      <c r="F53" s="14">
        <v>-39091</v>
      </c>
      <c r="G53" s="14">
        <v>-42225</v>
      </c>
      <c r="H53" s="14">
        <v>-45066</v>
      </c>
      <c r="I53" s="14">
        <v>-47988</v>
      </c>
      <c r="J53" s="14">
        <v>-50677</v>
      </c>
      <c r="K53" s="14">
        <v>-51719</v>
      </c>
      <c r="L53" s="7"/>
    </row>
    <row r="54" spans="1:12" x14ac:dyDescent="0.25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7"/>
    </row>
    <row r="55" spans="1:12" ht="15.75" thickBot="1" x14ac:dyDescent="0.3">
      <c r="A55" s="27" t="s">
        <v>67</v>
      </c>
      <c r="B55" s="28">
        <f>SUM(B49:B53)</f>
        <v>24799</v>
      </c>
      <c r="C55" s="28">
        <f>SUM(C49:C53)</f>
        <v>31003</v>
      </c>
      <c r="D55" s="28">
        <f t="shared" ref="D55:K55" si="5">SUM(D49:D53)</f>
        <v>31635</v>
      </c>
      <c r="E55" s="28">
        <f t="shared" si="5"/>
        <v>32790</v>
      </c>
      <c r="F55" s="28">
        <f t="shared" si="5"/>
        <v>33173</v>
      </c>
      <c r="G55" s="28">
        <f t="shared" si="5"/>
        <v>30320</v>
      </c>
      <c r="H55" s="28">
        <f t="shared" si="5"/>
        <v>25554</v>
      </c>
      <c r="I55" s="28">
        <f t="shared" si="5"/>
        <v>23062</v>
      </c>
      <c r="J55" s="28">
        <f t="shared" si="5"/>
        <v>17072</v>
      </c>
      <c r="K55" s="28">
        <f t="shared" si="5"/>
        <v>16981</v>
      </c>
      <c r="L55" s="7"/>
    </row>
    <row r="56" spans="1:12" x14ac:dyDescent="0.25">
      <c r="A56" s="12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7"/>
    </row>
    <row r="57" spans="1:12" x14ac:dyDescent="0.25">
      <c r="A57" s="13" t="s">
        <v>68</v>
      </c>
      <c r="B57" s="14">
        <v>547</v>
      </c>
      <c r="C57" s="14">
        <v>314</v>
      </c>
      <c r="D57" s="14">
        <v>286</v>
      </c>
      <c r="E57" s="14">
        <v>378</v>
      </c>
      <c r="F57" s="14">
        <v>267</v>
      </c>
      <c r="G57" s="14">
        <v>241</v>
      </c>
      <c r="H57" s="14">
        <v>210</v>
      </c>
      <c r="I57" s="14">
        <v>158</v>
      </c>
      <c r="J57" s="14">
        <v>1905</v>
      </c>
      <c r="K57" s="14">
        <v>2077</v>
      </c>
      <c r="L57" s="7"/>
    </row>
    <row r="58" spans="1:12" x14ac:dyDescent="0.25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7"/>
    </row>
    <row r="59" spans="1:12" ht="15.75" thickBot="1" x14ac:dyDescent="0.3">
      <c r="A59" s="27" t="s">
        <v>69</v>
      </c>
      <c r="B59" s="28">
        <f>B55+B57</f>
        <v>25346</v>
      </c>
      <c r="C59" s="28">
        <f t="shared" ref="C59:K59" si="6">C55+C57</f>
        <v>31317</v>
      </c>
      <c r="D59" s="28">
        <f t="shared" si="6"/>
        <v>31921</v>
      </c>
      <c r="E59" s="28">
        <f t="shared" si="6"/>
        <v>33168</v>
      </c>
      <c r="F59" s="28">
        <f t="shared" si="6"/>
        <v>33440</v>
      </c>
      <c r="G59" s="28">
        <f t="shared" si="6"/>
        <v>30561</v>
      </c>
      <c r="H59" s="28">
        <f t="shared" si="6"/>
        <v>25764</v>
      </c>
      <c r="I59" s="28">
        <f t="shared" si="6"/>
        <v>23220</v>
      </c>
      <c r="J59" s="28">
        <f t="shared" si="6"/>
        <v>18977</v>
      </c>
      <c r="K59" s="28">
        <f t="shared" si="6"/>
        <v>19058</v>
      </c>
      <c r="L59" s="7"/>
    </row>
    <row r="60" spans="1:12" ht="15.75" thickBot="1" x14ac:dyDescent="0.3">
      <c r="A60" s="27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7"/>
    </row>
    <row r="61" spans="1:12" ht="15.75" thickBot="1" x14ac:dyDescent="0.3">
      <c r="A61" s="27" t="s">
        <v>70</v>
      </c>
      <c r="B61" s="28">
        <f>SUM(B59,B47)</f>
        <v>48671</v>
      </c>
      <c r="C61" s="28">
        <f t="shared" ref="C61:K61" si="7">SUM(C59,C47)</f>
        <v>72921</v>
      </c>
      <c r="D61" s="28">
        <f t="shared" si="7"/>
        <v>79974</v>
      </c>
      <c r="E61" s="28">
        <f t="shared" si="7"/>
        <v>86174</v>
      </c>
      <c r="F61" s="28">
        <f t="shared" si="7"/>
        <v>90055</v>
      </c>
      <c r="G61" s="28">
        <f t="shared" si="7"/>
        <v>92023</v>
      </c>
      <c r="H61" s="28">
        <f t="shared" si="7"/>
        <v>89996</v>
      </c>
      <c r="I61" s="28">
        <f t="shared" si="7"/>
        <v>87270</v>
      </c>
      <c r="J61" s="28">
        <f t="shared" si="7"/>
        <v>87896</v>
      </c>
      <c r="K61" s="28">
        <f t="shared" si="7"/>
        <v>83216</v>
      </c>
      <c r="L61" s="7"/>
    </row>
  </sheetData>
  <pageMargins left="0.7" right="0.7" top="0.75" bottom="0.75" header="0.3" footer="0.3"/>
  <pageSetup scale="5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3B0FC-74FE-48F8-8E23-4873D48B2A33}">
  <dimension ref="A2:AR47"/>
  <sheetViews>
    <sheetView showGridLines="0" zoomScaleNormal="100" workbookViewId="0">
      <selection activeCell="B12" sqref="B12"/>
    </sheetView>
  </sheetViews>
  <sheetFormatPr defaultRowHeight="15" x14ac:dyDescent="0.25"/>
  <cols>
    <col min="1" max="1" width="89.7109375" bestFit="1" customWidth="1"/>
    <col min="2" max="11" width="13.42578125" bestFit="1" customWidth="1"/>
  </cols>
  <sheetData>
    <row r="2" spans="1:12" s="6" customFormat="1" ht="15.75" x14ac:dyDescent="0.25">
      <c r="A2" s="11" t="s">
        <v>116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2" x14ac:dyDescent="0.25">
      <c r="A3" s="1"/>
    </row>
    <row r="4" spans="1:12" s="7" customFormat="1" x14ac:dyDescent="0.25">
      <c r="A4" s="16" t="s">
        <v>119</v>
      </c>
      <c r="B4" s="29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8</v>
      </c>
      <c r="H4" s="29" t="s">
        <v>9</v>
      </c>
      <c r="I4" s="29" t="s">
        <v>10</v>
      </c>
      <c r="J4" s="29" t="s">
        <v>11</v>
      </c>
      <c r="K4" s="29" t="s">
        <v>12</v>
      </c>
    </row>
    <row r="5" spans="1:12" s="18" customFormat="1" x14ac:dyDescent="0.25">
      <c r="A5" s="17"/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1:12" x14ac:dyDescent="0.25">
      <c r="A6" s="3" t="s">
        <v>25</v>
      </c>
      <c r="B6" s="22">
        <f>'Profit &amp; Loss Statement'!B$25</f>
        <v>6906</v>
      </c>
      <c r="C6" s="22">
        <f>'Profit &amp; Loss Statement'!C$25</f>
        <v>11837</v>
      </c>
      <c r="D6" s="22">
        <f>'Profit &amp; Loss Statement'!D$25</f>
        <v>8646</v>
      </c>
      <c r="E6" s="22">
        <f>'Profit &amp; Loss Statement'!E$25</f>
        <v>9086</v>
      </c>
      <c r="F6" s="22">
        <f>'Profit &amp; Loss Statement'!F$25</f>
        <v>8626</v>
      </c>
      <c r="G6" s="22">
        <f>'Profit &amp; Loss Statement'!G$25</f>
        <v>7124</v>
      </c>
      <c r="H6" s="22">
        <f>'Profit &amp; Loss Statement'!H$25</f>
        <v>7366</v>
      </c>
      <c r="I6" s="22">
        <f>'Profit &amp; Loss Statement'!I$25</f>
        <v>6550</v>
      </c>
      <c r="J6" s="22">
        <f>'Profit &amp; Loss Statement'!J$25</f>
        <v>1182</v>
      </c>
      <c r="K6" s="22">
        <f>'Profit &amp; Loss Statement'!K$25</f>
        <v>6727</v>
      </c>
      <c r="L6" s="7"/>
    </row>
    <row r="7" spans="1:12" x14ac:dyDescent="0.25">
      <c r="A7" s="4" t="s">
        <v>72</v>
      </c>
      <c r="B7" s="23">
        <v>1236</v>
      </c>
      <c r="C7" s="23">
        <v>1443</v>
      </c>
      <c r="D7" s="23">
        <v>1954</v>
      </c>
      <c r="E7" s="23">
        <v>1982</v>
      </c>
      <c r="F7" s="23">
        <v>1977</v>
      </c>
      <c r="G7" s="23">
        <v>1976</v>
      </c>
      <c r="H7" s="23">
        <v>1970</v>
      </c>
      <c r="I7" s="23">
        <v>1787</v>
      </c>
      <c r="J7" s="23">
        <v>1260</v>
      </c>
      <c r="K7" s="23">
        <v>1086</v>
      </c>
      <c r="L7" s="7"/>
    </row>
    <row r="8" spans="1:12" x14ac:dyDescent="0.25">
      <c r="A8" s="4" t="s">
        <v>73</v>
      </c>
      <c r="B8" s="23"/>
      <c r="C8" s="23"/>
      <c r="D8" s="23"/>
      <c r="E8" s="23"/>
      <c r="F8" s="23"/>
      <c r="G8" s="23"/>
      <c r="H8" s="23">
        <v>0</v>
      </c>
      <c r="I8" s="23">
        <v>0</v>
      </c>
      <c r="J8" s="23">
        <v>-101</v>
      </c>
      <c r="K8" s="23">
        <v>251</v>
      </c>
      <c r="L8" s="7"/>
    </row>
    <row r="9" spans="1:12" x14ac:dyDescent="0.25">
      <c r="A9" s="4" t="s">
        <v>74</v>
      </c>
      <c r="B9" s="23">
        <v>241</v>
      </c>
      <c r="C9" s="23">
        <v>380</v>
      </c>
      <c r="D9" s="23">
        <v>354</v>
      </c>
      <c r="E9" s="23">
        <v>259</v>
      </c>
      <c r="F9" s="23">
        <v>227</v>
      </c>
      <c r="G9" s="23">
        <v>209</v>
      </c>
      <c r="H9" s="23">
        <v>236</v>
      </c>
      <c r="I9" s="23">
        <v>258</v>
      </c>
      <c r="J9" s="23">
        <v>219</v>
      </c>
      <c r="K9" s="23">
        <v>225</v>
      </c>
      <c r="L9" s="7"/>
    </row>
    <row r="10" spans="1:12" x14ac:dyDescent="0.25">
      <c r="A10" s="4" t="s">
        <v>61</v>
      </c>
      <c r="B10" s="23">
        <v>353</v>
      </c>
      <c r="C10" s="23">
        <v>604</v>
      </c>
      <c r="D10" s="23">
        <v>1035</v>
      </c>
      <c r="E10" s="23">
        <v>632</v>
      </c>
      <c r="F10" s="23">
        <v>648</v>
      </c>
      <c r="G10" s="23">
        <v>-40</v>
      </c>
      <c r="H10" s="23">
        <v>73</v>
      </c>
      <c r="I10" s="23">
        <v>-856</v>
      </c>
      <c r="J10" s="23">
        <v>-1256</v>
      </c>
      <c r="K10" s="23">
        <v>-450</v>
      </c>
      <c r="L10" s="7"/>
    </row>
    <row r="11" spans="1:12" x14ac:dyDescent="0.25">
      <c r="A11" s="4" t="s">
        <v>75</v>
      </c>
      <c r="B11" s="23">
        <v>-359</v>
      </c>
      <c r="C11" s="23">
        <v>-671</v>
      </c>
      <c r="D11" s="23">
        <v>-269</v>
      </c>
      <c r="E11" s="23">
        <v>-426</v>
      </c>
      <c r="F11" s="23">
        <v>-201</v>
      </c>
      <c r="G11" s="23">
        <v>-371</v>
      </c>
      <c r="H11" s="23">
        <v>-122</v>
      </c>
      <c r="I11" s="23">
        <v>-449</v>
      </c>
      <c r="J11" s="23">
        <v>-628</v>
      </c>
      <c r="K11" s="23">
        <v>-457</v>
      </c>
      <c r="L11" s="7"/>
    </row>
    <row r="12" spans="1:12" x14ac:dyDescent="0.25">
      <c r="A12" s="4" t="s">
        <v>76</v>
      </c>
      <c r="B12" s="23">
        <v>61</v>
      </c>
      <c r="C12" s="23">
        <v>151</v>
      </c>
      <c r="D12" s="23">
        <v>7</v>
      </c>
      <c r="E12" s="23">
        <v>-130</v>
      </c>
      <c r="F12" s="23">
        <v>168</v>
      </c>
      <c r="G12" s="23">
        <v>415</v>
      </c>
      <c r="H12" s="23">
        <v>-137</v>
      </c>
      <c r="I12" s="23">
        <v>158</v>
      </c>
      <c r="J12" s="23">
        <v>281</v>
      </c>
      <c r="K12" s="23">
        <v>-38</v>
      </c>
      <c r="L12" s="7"/>
    </row>
    <row r="13" spans="1:12" x14ac:dyDescent="0.25">
      <c r="A13" s="4" t="s">
        <v>77</v>
      </c>
      <c r="B13" s="23">
        <v>-43</v>
      </c>
      <c r="C13" s="23">
        <v>-645</v>
      </c>
      <c r="D13" s="23">
        <v>-220</v>
      </c>
      <c r="E13" s="23">
        <v>-98</v>
      </c>
      <c r="F13" s="23">
        <v>-670</v>
      </c>
      <c r="G13" s="23">
        <v>831</v>
      </c>
      <c r="H13" s="23">
        <v>-374</v>
      </c>
      <c r="I13" s="23">
        <v>1146</v>
      </c>
      <c r="J13" s="23">
        <v>1459</v>
      </c>
      <c r="K13" s="23">
        <v>189</v>
      </c>
      <c r="L13" s="7"/>
    </row>
    <row r="14" spans="1:12" x14ac:dyDescent="0.25">
      <c r="A14" s="4" t="s">
        <v>78</v>
      </c>
      <c r="B14" s="23">
        <v>0</v>
      </c>
      <c r="C14" s="23">
        <v>-4713</v>
      </c>
      <c r="D14" s="23"/>
      <c r="E14" s="23"/>
      <c r="F14" s="23"/>
      <c r="G14" s="23"/>
      <c r="H14" s="23"/>
      <c r="I14" s="23"/>
      <c r="J14" s="23"/>
      <c r="K14" s="23"/>
      <c r="L14" s="7"/>
    </row>
    <row r="15" spans="1:12" x14ac:dyDescent="0.25">
      <c r="A15" s="4" t="s">
        <v>17</v>
      </c>
      <c r="B15" s="23">
        <v>134</v>
      </c>
      <c r="C15" s="23">
        <v>264</v>
      </c>
      <c r="D15" s="23">
        <v>214</v>
      </c>
      <c r="E15" s="23">
        <v>166</v>
      </c>
      <c r="F15" s="23">
        <v>465</v>
      </c>
      <c r="G15" s="23">
        <v>761</v>
      </c>
      <c r="H15" s="23">
        <v>929</v>
      </c>
      <c r="I15" s="23">
        <v>647</v>
      </c>
      <c r="J15" s="23">
        <v>1218</v>
      </c>
      <c r="K15" s="23">
        <v>558</v>
      </c>
      <c r="L15" s="7"/>
    </row>
    <row r="16" spans="1:12" x14ac:dyDescent="0.25">
      <c r="A16" s="4" t="s">
        <v>79</v>
      </c>
      <c r="B16" s="23">
        <v>221</v>
      </c>
      <c r="C16" s="23">
        <v>512</v>
      </c>
      <c r="D16" s="23">
        <v>-354</v>
      </c>
      <c r="E16" s="23">
        <v>254</v>
      </c>
      <c r="F16" s="23">
        <v>234</v>
      </c>
      <c r="G16" s="23">
        <v>149</v>
      </c>
      <c r="H16" s="23">
        <v>744</v>
      </c>
      <c r="I16" s="23">
        <v>-224</v>
      </c>
      <c r="J16" s="23">
        <v>-269</v>
      </c>
      <c r="K16" s="23">
        <v>682</v>
      </c>
      <c r="L16" s="7"/>
    </row>
    <row r="17" spans="1:44" x14ac:dyDescent="0.25">
      <c r="A17" s="4" t="s">
        <v>80</v>
      </c>
      <c r="B17" s="23">
        <v>-564</v>
      </c>
      <c r="C17" s="23">
        <v>370</v>
      </c>
      <c r="D17" s="23">
        <v>-1893</v>
      </c>
      <c r="E17" s="23">
        <v>-1080</v>
      </c>
      <c r="F17" s="23">
        <v>-932</v>
      </c>
      <c r="G17" s="23">
        <v>-439</v>
      </c>
      <c r="H17" s="23">
        <v>-157</v>
      </c>
      <c r="I17" s="23">
        <v>-221</v>
      </c>
      <c r="J17" s="23">
        <v>3464</v>
      </c>
      <c r="K17" s="23">
        <v>-1202</v>
      </c>
      <c r="L17" s="7"/>
    </row>
    <row r="18" spans="1:44" x14ac:dyDescent="0.25">
      <c r="A18" s="4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</row>
    <row r="19" spans="1:44" s="2" customFormat="1" ht="15.75" thickBot="1" x14ac:dyDescent="0.3">
      <c r="A19" s="25" t="s">
        <v>81</v>
      </c>
      <c r="B19" s="26">
        <f>SUM(B6:B17)</f>
        <v>8186</v>
      </c>
      <c r="C19" s="26">
        <f>SUM(C6:C17)</f>
        <v>9532</v>
      </c>
      <c r="D19" s="26">
        <f>SUM(D6:D17)</f>
        <v>9474</v>
      </c>
      <c r="E19" s="26">
        <f>SUM(E6:E17)</f>
        <v>10645</v>
      </c>
      <c r="F19" s="26">
        <f>SUM(F6:F17)</f>
        <v>10542</v>
      </c>
      <c r="G19" s="26">
        <f>SUM(G6:G17)</f>
        <v>10615</v>
      </c>
      <c r="H19" s="26">
        <f>SUM(H6:H17)</f>
        <v>10528</v>
      </c>
      <c r="I19" s="26">
        <f>SUM(I6:I17)</f>
        <v>8796</v>
      </c>
      <c r="J19" s="26">
        <f>SUM(J6:J17)</f>
        <v>6829</v>
      </c>
      <c r="K19" s="26">
        <f>SUM(K6:K17)</f>
        <v>7571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</row>
    <row r="20" spans="1:44" s="7" customFormat="1" x14ac:dyDescent="0.25">
      <c r="A20" s="5"/>
      <c r="B20" s="24"/>
      <c r="C20" s="24"/>
      <c r="D20" s="24"/>
      <c r="E20" s="24"/>
      <c r="F20" s="24"/>
      <c r="G20" s="24"/>
      <c r="H20" s="24"/>
      <c r="I20" s="24"/>
      <c r="J20" s="24"/>
      <c r="K20" s="24"/>
    </row>
    <row r="21" spans="1:44" x14ac:dyDescent="0.25">
      <c r="A21" s="4" t="s">
        <v>82</v>
      </c>
      <c r="B21" s="23">
        <v>-2130</v>
      </c>
      <c r="C21" s="23">
        <v>-4579</v>
      </c>
      <c r="D21" s="23"/>
      <c r="E21" s="23"/>
      <c r="F21" s="23"/>
      <c r="G21" s="23"/>
      <c r="H21" s="23"/>
      <c r="I21" s="23"/>
      <c r="J21" s="23"/>
      <c r="K21" s="23"/>
      <c r="L21" s="7"/>
    </row>
    <row r="22" spans="1:44" x14ac:dyDescent="0.25">
      <c r="A22" s="4" t="s">
        <v>83</v>
      </c>
      <c r="B22" s="23">
        <v>-22</v>
      </c>
      <c r="C22" s="23">
        <v>-132</v>
      </c>
      <c r="D22" s="23">
        <v>-4798</v>
      </c>
      <c r="E22" s="23">
        <v>-14824</v>
      </c>
      <c r="F22" s="23">
        <v>-14782</v>
      </c>
      <c r="G22" s="23">
        <v>-17800</v>
      </c>
      <c r="H22" s="23">
        <v>-15831</v>
      </c>
      <c r="I22" s="23">
        <v>-15499</v>
      </c>
      <c r="J22" s="23">
        <v>-17296</v>
      </c>
      <c r="K22" s="23">
        <v>-7789</v>
      </c>
      <c r="L22" s="7"/>
    </row>
    <row r="23" spans="1:44" x14ac:dyDescent="0.25">
      <c r="A23" s="4" t="s">
        <v>84</v>
      </c>
      <c r="B23" s="23">
        <v>0</v>
      </c>
      <c r="C23" s="23">
        <v>4032</v>
      </c>
      <c r="D23" s="23">
        <v>5811</v>
      </c>
      <c r="E23" s="23">
        <v>7791</v>
      </c>
      <c r="F23" s="23">
        <v>12791</v>
      </c>
      <c r="G23" s="23">
        <v>12986</v>
      </c>
      <c r="H23" s="23">
        <v>14079</v>
      </c>
      <c r="I23" s="23">
        <v>16624</v>
      </c>
      <c r="J23" s="23">
        <v>16694</v>
      </c>
      <c r="K23" s="23">
        <v>14977</v>
      </c>
      <c r="L23" s="7"/>
    </row>
    <row r="24" spans="1:44" x14ac:dyDescent="0.25">
      <c r="A24" s="4" t="s">
        <v>85</v>
      </c>
      <c r="B24" s="23">
        <v>-300</v>
      </c>
      <c r="C24" s="23">
        <v>-2511</v>
      </c>
      <c r="D24" s="23">
        <v>-971</v>
      </c>
      <c r="E24" s="23">
        <v>-1486</v>
      </c>
      <c r="F24" s="23">
        <v>-353</v>
      </c>
      <c r="G24" s="23">
        <v>-389</v>
      </c>
      <c r="H24" s="23">
        <v>-2491</v>
      </c>
      <c r="I24" s="23">
        <v>-838</v>
      </c>
      <c r="J24" s="23">
        <v>-3809</v>
      </c>
      <c r="K24" s="23">
        <v>-1040</v>
      </c>
      <c r="L24" s="7"/>
    </row>
    <row r="25" spans="1:44" x14ac:dyDescent="0.25">
      <c r="A25" s="4" t="s">
        <v>86</v>
      </c>
      <c r="B25" s="23">
        <v>240</v>
      </c>
      <c r="C25" s="23">
        <v>972</v>
      </c>
      <c r="D25" s="23">
        <v>398</v>
      </c>
      <c r="E25" s="23">
        <v>20</v>
      </c>
      <c r="F25" s="23">
        <v>872</v>
      </c>
      <c r="G25" s="23">
        <v>148</v>
      </c>
      <c r="H25" s="23">
        <v>565</v>
      </c>
      <c r="I25" s="23">
        <v>1035</v>
      </c>
      <c r="J25" s="23">
        <v>3821</v>
      </c>
      <c r="K25" s="23">
        <v>1362</v>
      </c>
      <c r="L25" s="7"/>
    </row>
    <row r="26" spans="1:44" x14ac:dyDescent="0.25">
      <c r="A26" s="4" t="s">
        <v>87</v>
      </c>
      <c r="B26" s="23">
        <v>-1993</v>
      </c>
      <c r="C26" s="23">
        <v>-2215</v>
      </c>
      <c r="D26" s="23">
        <v>-2920</v>
      </c>
      <c r="E26" s="23">
        <v>-2780</v>
      </c>
      <c r="F26" s="23">
        <v>-2550</v>
      </c>
      <c r="G26" s="23">
        <v>-2406</v>
      </c>
      <c r="H26" s="23">
        <v>-2553</v>
      </c>
      <c r="I26" s="23">
        <v>-2262</v>
      </c>
      <c r="J26" s="23">
        <v>-1675</v>
      </c>
      <c r="K26" s="23">
        <v>-1347</v>
      </c>
      <c r="L26" s="7"/>
    </row>
    <row r="27" spans="1:44" x14ac:dyDescent="0.25">
      <c r="A27" s="4" t="s">
        <v>88</v>
      </c>
      <c r="B27" s="23">
        <v>104</v>
      </c>
      <c r="C27" s="23">
        <v>134</v>
      </c>
      <c r="D27" s="23">
        <v>101</v>
      </c>
      <c r="E27" s="23">
        <v>143</v>
      </c>
      <c r="F27" s="23">
        <v>111</v>
      </c>
      <c r="G27" s="23">
        <v>223</v>
      </c>
      <c r="H27" s="23">
        <v>85</v>
      </c>
      <c r="I27" s="23">
        <v>150</v>
      </c>
      <c r="J27" s="23">
        <v>104</v>
      </c>
      <c r="K27" s="23">
        <v>245</v>
      </c>
      <c r="L27" s="7"/>
    </row>
    <row r="28" spans="1:44" x14ac:dyDescent="0.25">
      <c r="A28" s="4" t="s">
        <v>89</v>
      </c>
      <c r="B28" s="23">
        <v>-48</v>
      </c>
      <c r="C28" s="23">
        <v>-106</v>
      </c>
      <c r="D28" s="23">
        <v>-145</v>
      </c>
      <c r="E28" s="23">
        <v>-268</v>
      </c>
      <c r="F28" s="23">
        <v>-303</v>
      </c>
      <c r="G28" s="23">
        <v>-268</v>
      </c>
      <c r="H28" s="23">
        <v>-40</v>
      </c>
      <c r="I28" s="23">
        <v>-209</v>
      </c>
      <c r="J28" s="23">
        <v>-93</v>
      </c>
      <c r="K28" s="23">
        <v>-60</v>
      </c>
      <c r="L28" s="7"/>
    </row>
    <row r="29" spans="1:44" x14ac:dyDescent="0.25">
      <c r="A29" s="4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7"/>
    </row>
    <row r="30" spans="1:44" ht="15.75" thickBot="1" x14ac:dyDescent="0.3">
      <c r="A30" s="25" t="s">
        <v>90</v>
      </c>
      <c r="B30" s="26">
        <f>SUM(B21:B28)</f>
        <v>-4149</v>
      </c>
      <c r="C30" s="26">
        <f>SUM(C21:C28)</f>
        <v>-4405</v>
      </c>
      <c r="D30" s="26">
        <f>SUM(D21:D28)</f>
        <v>-2524</v>
      </c>
      <c r="E30" s="26">
        <f>SUM(E21:E28)</f>
        <v>-11404</v>
      </c>
      <c r="F30" s="26">
        <f>SUM(F21:F28)</f>
        <v>-4214</v>
      </c>
      <c r="G30" s="26">
        <f>SUM(G21:G28)</f>
        <v>-7506</v>
      </c>
      <c r="H30" s="26">
        <f>SUM(H21:H28)</f>
        <v>-6186</v>
      </c>
      <c r="I30" s="26">
        <f>SUM(I21:I28)</f>
        <v>-999</v>
      </c>
      <c r="J30" s="26">
        <f>SUM(J21:J28)</f>
        <v>-2254</v>
      </c>
      <c r="K30" s="26">
        <f>SUM(K21:K28)</f>
        <v>6348</v>
      </c>
      <c r="L30" s="7"/>
    </row>
    <row r="31" spans="1:44" x14ac:dyDescent="0.25">
      <c r="A31" s="5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7"/>
    </row>
    <row r="32" spans="1:44" x14ac:dyDescent="0.25">
      <c r="A32" s="4" t="s">
        <v>91</v>
      </c>
      <c r="B32" s="23">
        <v>14689</v>
      </c>
      <c r="C32" s="23">
        <v>15251</v>
      </c>
      <c r="D32" s="23">
        <v>27495</v>
      </c>
      <c r="E32" s="23">
        <v>42791</v>
      </c>
      <c r="F32" s="23">
        <v>43425</v>
      </c>
      <c r="G32" s="23">
        <v>41674</v>
      </c>
      <c r="H32" s="23">
        <v>40434</v>
      </c>
      <c r="I32" s="23">
        <v>27281</v>
      </c>
      <c r="J32" s="23">
        <v>29857</v>
      </c>
      <c r="K32" s="23">
        <v>27339</v>
      </c>
      <c r="L32" s="7"/>
    </row>
    <row r="33" spans="1:12" x14ac:dyDescent="0.25">
      <c r="A33" s="4" t="s">
        <v>92</v>
      </c>
      <c r="B33" s="23">
        <v>-12326</v>
      </c>
      <c r="C33" s="23">
        <v>-13403</v>
      </c>
      <c r="D33" s="23">
        <v>-22530</v>
      </c>
      <c r="E33" s="23">
        <v>-38573</v>
      </c>
      <c r="F33" s="23">
        <v>-38714</v>
      </c>
      <c r="G33" s="23">
        <v>-36962</v>
      </c>
      <c r="H33" s="23">
        <v>-37738</v>
      </c>
      <c r="I33" s="23">
        <v>-25615</v>
      </c>
      <c r="J33" s="23">
        <v>-28768</v>
      </c>
      <c r="K33" s="23">
        <v>-30568</v>
      </c>
      <c r="L33" s="7"/>
    </row>
    <row r="34" spans="1:12" x14ac:dyDescent="0.25">
      <c r="A34" s="4" t="s">
        <v>93</v>
      </c>
      <c r="B34" s="23">
        <v>664</v>
      </c>
      <c r="C34" s="23">
        <v>1666</v>
      </c>
      <c r="D34" s="23">
        <v>1569</v>
      </c>
      <c r="E34" s="23">
        <v>1489</v>
      </c>
      <c r="F34" s="23">
        <v>1328</v>
      </c>
      <c r="G34" s="23">
        <v>1532</v>
      </c>
      <c r="H34" s="23">
        <v>1245</v>
      </c>
      <c r="I34" s="23">
        <v>1434</v>
      </c>
      <c r="J34" s="23">
        <v>1595</v>
      </c>
      <c r="K34" s="23">
        <v>1476</v>
      </c>
      <c r="L34" s="7"/>
    </row>
    <row r="35" spans="1:12" x14ac:dyDescent="0.25">
      <c r="A35" s="4" t="s">
        <v>94</v>
      </c>
      <c r="B35" s="23">
        <v>-1518</v>
      </c>
      <c r="C35" s="23">
        <v>-2961</v>
      </c>
      <c r="D35" s="23">
        <v>-4513</v>
      </c>
      <c r="E35" s="23">
        <v>-4559</v>
      </c>
      <c r="F35" s="23">
        <v>-4832</v>
      </c>
      <c r="G35" s="23">
        <v>-4162</v>
      </c>
      <c r="H35" s="23">
        <v>-3564</v>
      </c>
      <c r="I35" s="23">
        <v>-3681</v>
      </c>
      <c r="J35" s="23">
        <v>-3682</v>
      </c>
      <c r="K35" s="23">
        <v>-1912</v>
      </c>
      <c r="L35" s="7"/>
    </row>
    <row r="36" spans="1:12" x14ac:dyDescent="0.25">
      <c r="A36" s="4" t="s">
        <v>95</v>
      </c>
      <c r="B36" s="23">
        <v>-3800</v>
      </c>
      <c r="C36" s="23">
        <v>-4068</v>
      </c>
      <c r="D36" s="23">
        <v>-4300</v>
      </c>
      <c r="E36" s="23">
        <v>-4595</v>
      </c>
      <c r="F36" s="23">
        <v>-4969</v>
      </c>
      <c r="G36" s="23">
        <v>-5350</v>
      </c>
      <c r="H36" s="23">
        <v>-5741</v>
      </c>
      <c r="I36" s="23">
        <v>-6043</v>
      </c>
      <c r="J36" s="23">
        <v>-6320</v>
      </c>
      <c r="K36" s="23">
        <v>-6644</v>
      </c>
      <c r="L36" s="7"/>
    </row>
    <row r="37" spans="1:12" x14ac:dyDescent="0.25">
      <c r="A37" s="4" t="s">
        <v>96</v>
      </c>
      <c r="B37" s="23">
        <v>-2</v>
      </c>
      <c r="C37" s="23">
        <v>50</v>
      </c>
      <c r="D37" s="23">
        <v>45</v>
      </c>
      <c r="E37" s="23">
        <v>100</v>
      </c>
      <c r="F37" s="23">
        <v>17</v>
      </c>
      <c r="G37" s="23">
        <v>-363</v>
      </c>
      <c r="H37" s="23">
        <v>251</v>
      </c>
      <c r="I37" s="23">
        <v>79</v>
      </c>
      <c r="J37" s="23">
        <v>-91</v>
      </c>
      <c r="K37" s="23">
        <v>-243</v>
      </c>
      <c r="L37" s="7"/>
    </row>
    <row r="38" spans="1:12" x14ac:dyDescent="0.25">
      <c r="A38" s="4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7"/>
    </row>
    <row r="39" spans="1:12" ht="15.75" thickBot="1" x14ac:dyDescent="0.3">
      <c r="A39" s="25" t="s">
        <v>97</v>
      </c>
      <c r="B39" s="26">
        <f>SUM(B32:B37)</f>
        <v>-2293</v>
      </c>
      <c r="C39" s="26">
        <f t="shared" ref="C39:K39" si="0">SUM(C32:C37)</f>
        <v>-3465</v>
      </c>
      <c r="D39" s="26">
        <f t="shared" si="0"/>
        <v>-2234</v>
      </c>
      <c r="E39" s="26">
        <f t="shared" si="0"/>
        <v>-3347</v>
      </c>
      <c r="F39" s="26">
        <f t="shared" si="0"/>
        <v>-3745</v>
      </c>
      <c r="G39" s="26">
        <f t="shared" si="0"/>
        <v>-3631</v>
      </c>
      <c r="H39" s="26">
        <f t="shared" si="0"/>
        <v>-5113</v>
      </c>
      <c r="I39" s="26">
        <f t="shared" si="0"/>
        <v>-6545</v>
      </c>
      <c r="J39" s="26">
        <f t="shared" si="0"/>
        <v>-7409</v>
      </c>
      <c r="K39" s="26">
        <f t="shared" si="0"/>
        <v>-10552</v>
      </c>
      <c r="L39" s="7"/>
    </row>
    <row r="40" spans="1:12" x14ac:dyDescent="0.25">
      <c r="A40" s="5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7"/>
    </row>
    <row r="41" spans="1:12" x14ac:dyDescent="0.25">
      <c r="A41" s="4" t="s">
        <v>98</v>
      </c>
      <c r="B41" s="23"/>
      <c r="C41" s="23"/>
      <c r="D41" s="23"/>
      <c r="E41" s="23"/>
      <c r="F41" s="23"/>
      <c r="G41" s="23"/>
      <c r="H41" s="23">
        <v>0</v>
      </c>
      <c r="I41" s="23">
        <v>0</v>
      </c>
      <c r="J41" s="23">
        <v>111</v>
      </c>
      <c r="K41" s="23">
        <v>307</v>
      </c>
      <c r="L41" s="7"/>
    </row>
    <row r="42" spans="1:12" x14ac:dyDescent="0.25">
      <c r="A42" s="4" t="s">
        <v>99</v>
      </c>
      <c r="B42" s="23">
        <v>576</v>
      </c>
      <c r="C42" s="23">
        <v>-166</v>
      </c>
      <c r="D42" s="23">
        <v>-430</v>
      </c>
      <c r="E42" s="23">
        <v>-255</v>
      </c>
      <c r="F42" s="23">
        <v>-611</v>
      </c>
      <c r="G42" s="23">
        <v>-934</v>
      </c>
      <c r="H42" s="23">
        <v>-878</v>
      </c>
      <c r="I42" s="23">
        <v>-6</v>
      </c>
      <c r="J42" s="23">
        <v>241</v>
      </c>
      <c r="K42" s="23">
        <v>-262</v>
      </c>
      <c r="L42" s="7"/>
    </row>
    <row r="43" spans="1:12" x14ac:dyDescent="0.25">
      <c r="A43" s="4" t="s">
        <v>100</v>
      </c>
      <c r="B43" s="23"/>
      <c r="C43" s="23"/>
      <c r="D43" s="23"/>
      <c r="E43" s="23"/>
      <c r="F43" s="23"/>
      <c r="G43" s="23"/>
      <c r="H43" s="23">
        <v>0</v>
      </c>
      <c r="I43" s="23">
        <v>0</v>
      </c>
      <c r="J43" s="23">
        <v>-58</v>
      </c>
      <c r="K43" s="23">
        <v>-421</v>
      </c>
      <c r="L43" s="7"/>
    </row>
    <row r="44" spans="1:12" x14ac:dyDescent="0.25">
      <c r="A44" s="4" t="s">
        <v>101</v>
      </c>
      <c r="B44" s="23"/>
      <c r="C44" s="23"/>
      <c r="D44" s="23"/>
      <c r="E44" s="23"/>
      <c r="F44" s="23"/>
      <c r="G44" s="23"/>
      <c r="H44" s="23">
        <v>0</v>
      </c>
      <c r="I44" s="23">
        <v>0</v>
      </c>
      <c r="J44" s="23">
        <v>-38</v>
      </c>
      <c r="K44" s="23">
        <v>205</v>
      </c>
      <c r="L44" s="7"/>
    </row>
    <row r="45" spans="1:12" x14ac:dyDescent="0.25">
      <c r="A45" s="4" t="s">
        <v>102</v>
      </c>
      <c r="B45" s="23"/>
      <c r="C45" s="23"/>
      <c r="D45" s="23"/>
      <c r="E45" s="23"/>
      <c r="F45" s="23"/>
      <c r="G45" s="23"/>
      <c r="H45" s="23">
        <v>0</v>
      </c>
      <c r="I45" s="23">
        <v>0</v>
      </c>
      <c r="J45" s="23">
        <v>15</v>
      </c>
      <c r="K45" s="23">
        <v>91</v>
      </c>
      <c r="L45" s="7"/>
    </row>
    <row r="46" spans="1:12" x14ac:dyDescent="0.25">
      <c r="A46" s="4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7"/>
    </row>
    <row r="47" spans="1:12" ht="15.75" thickBot="1" x14ac:dyDescent="0.3">
      <c r="A47" s="25" t="s">
        <v>103</v>
      </c>
      <c r="B47" s="26">
        <f>SUM(B30,B19,B39)+SUM(B41:B45)</f>
        <v>2320</v>
      </c>
      <c r="C47" s="26">
        <f>SUM(C30,C19,C39)+SUM(C41:C45)</f>
        <v>1496</v>
      </c>
      <c r="D47" s="26">
        <f>SUM(D30,D19,D39)+SUM(D41:D45)</f>
        <v>4286</v>
      </c>
      <c r="E47" s="26">
        <f>SUM(E30,E19,E39)+SUM(E41:E45)</f>
        <v>-4361</v>
      </c>
      <c r="F47" s="26">
        <f>SUM(F30,F19,F39)+SUM(F41:F45)</f>
        <v>1972</v>
      </c>
      <c r="G47" s="26">
        <f>SUM(G30,G19,G39)+SUM(G41:G45)</f>
        <v>-1456</v>
      </c>
      <c r="H47" s="26">
        <f>SUM(H30,H19,H39)+SUM(H41:H45)</f>
        <v>-1649</v>
      </c>
      <c r="I47" s="26">
        <f>SUM(I30,I19,I39)+SUM(I41:I45)</f>
        <v>1246</v>
      </c>
      <c r="J47" s="26">
        <f>SUM(J30,J19,J39)+SUM(J41:J45)</f>
        <v>-2563</v>
      </c>
      <c r="K47" s="26">
        <f>SUM(K30,K19,K39)+SUM(K41:K45)</f>
        <v>3287</v>
      </c>
      <c r="L47" s="7"/>
    </row>
  </sheetData>
  <pageMargins left="0.7" right="0.7" top="0.75" bottom="0.75" header="0.3" footer="0.3"/>
  <pageSetup scale="26" orientation="portrait" r:id="rId1"/>
  <colBreaks count="1" manualBreakCount="1">
    <brk id="24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D3C21E-3DFD-4A45-AA31-43E8BE2009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COLA RAW DATA</vt:lpstr>
      <vt:lpstr>Profit &amp; Loss Statement</vt:lpstr>
      <vt:lpstr>Balance sheet</vt:lpstr>
      <vt:lpstr>Cash flow Statement</vt:lpstr>
      <vt:lpstr>'Balance sheet'!Print_Area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Flassbeck</dc:creator>
  <cp:keywords/>
  <dc:description/>
  <cp:lastModifiedBy>JAMES MWAURA</cp:lastModifiedBy>
  <dcterms:created xsi:type="dcterms:W3CDTF">2016-07-27T10:12:29Z</dcterms:created>
  <dcterms:modified xsi:type="dcterms:W3CDTF">2024-07-03T19:08:19Z</dcterms:modified>
  <cp:category/>
</cp:coreProperties>
</file>